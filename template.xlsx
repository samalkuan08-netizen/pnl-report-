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Алия\Downloads\"/>
    </mc:Choice>
  </mc:AlternateContent>
  <xr:revisionPtr revIDLastSave="0" documentId="13_ncr:1_{1EBB60F7-D2AF-4F92-B0B4-C37DF03890B6}" xr6:coauthVersionLast="47" xr6:coauthVersionMax="47" xr10:uidLastSave="{00000000-0000-0000-0000-000000000000}"/>
  <bookViews>
    <workbookView xWindow="-108" yWindow="-108" windowWidth="23256" windowHeight="12576" tabRatio="729" xr2:uid="{00000000-000D-0000-FFFF-FFFF00000000}"/>
  </bookViews>
  <sheets>
    <sheet name="P&amp;L 2026 all" sheetId="30" r:id="rId1"/>
    <sheet name="P&amp;L 2026 TCO" sheetId="29" r:id="rId2"/>
    <sheet name="P&amp;L KPO" sheetId="31" r:id="rId3"/>
    <sheet name="P&amp;L 2026 concrete" sheetId="28" r:id="rId4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0" l="1"/>
  <c r="D25" i="30"/>
  <c r="D19" i="30"/>
  <c r="D30" i="30"/>
  <c r="D15" i="30"/>
  <c r="D14" i="30"/>
  <c r="D13" i="30"/>
  <c r="D12" i="30"/>
  <c r="D11" i="30"/>
  <c r="D9" i="30"/>
  <c r="E30" i="30"/>
  <c r="F30" i="30"/>
  <c r="G30" i="30"/>
  <c r="H30" i="30"/>
  <c r="I30" i="30"/>
  <c r="J30" i="30"/>
  <c r="K30" i="30"/>
  <c r="L30" i="30"/>
  <c r="M30" i="30"/>
  <c r="N30" i="30"/>
  <c r="C30" i="30"/>
  <c r="D29" i="30"/>
  <c r="E29" i="30"/>
  <c r="F29" i="30"/>
  <c r="G29" i="30"/>
  <c r="H29" i="30"/>
  <c r="I29" i="30"/>
  <c r="J29" i="30"/>
  <c r="K29" i="30"/>
  <c r="L29" i="30"/>
  <c r="M29" i="30"/>
  <c r="N29" i="30"/>
  <c r="C29" i="30"/>
  <c r="D28" i="30"/>
  <c r="E28" i="30"/>
  <c r="F28" i="30"/>
  <c r="G28" i="30"/>
  <c r="H28" i="30"/>
  <c r="I28" i="30"/>
  <c r="J28" i="30"/>
  <c r="K28" i="30"/>
  <c r="L28" i="30"/>
  <c r="M28" i="30"/>
  <c r="N28" i="30"/>
  <c r="C28" i="30"/>
  <c r="D27" i="30"/>
  <c r="E27" i="30"/>
  <c r="F27" i="30"/>
  <c r="G27" i="30"/>
  <c r="H27" i="30"/>
  <c r="I27" i="30"/>
  <c r="J27" i="30"/>
  <c r="K27" i="30"/>
  <c r="L27" i="30"/>
  <c r="M27" i="30"/>
  <c r="N27" i="30"/>
  <c r="C27" i="30"/>
  <c r="D26" i="30"/>
  <c r="E26" i="30"/>
  <c r="F26" i="30"/>
  <c r="G26" i="30"/>
  <c r="H26" i="30"/>
  <c r="I26" i="30"/>
  <c r="J26" i="30"/>
  <c r="K26" i="30"/>
  <c r="L26" i="30"/>
  <c r="M26" i="30"/>
  <c r="N26" i="30"/>
  <c r="C26" i="30"/>
  <c r="E25" i="30"/>
  <c r="F25" i="30"/>
  <c r="G25" i="30"/>
  <c r="H25" i="30"/>
  <c r="I25" i="30"/>
  <c r="J25" i="30"/>
  <c r="K25" i="30"/>
  <c r="L25" i="30"/>
  <c r="M25" i="30"/>
  <c r="N25" i="30"/>
  <c r="C25" i="30"/>
  <c r="D24" i="30"/>
  <c r="E24" i="30"/>
  <c r="F24" i="30"/>
  <c r="G24" i="30"/>
  <c r="H24" i="30"/>
  <c r="I24" i="30"/>
  <c r="J24" i="30"/>
  <c r="K24" i="30"/>
  <c r="L24" i="30"/>
  <c r="M24" i="30"/>
  <c r="N24" i="30"/>
  <c r="C24" i="30"/>
  <c r="D23" i="30"/>
  <c r="E23" i="30"/>
  <c r="F23" i="30"/>
  <c r="G23" i="30"/>
  <c r="H23" i="30"/>
  <c r="I23" i="30"/>
  <c r="J23" i="30"/>
  <c r="K23" i="30"/>
  <c r="L23" i="30"/>
  <c r="M23" i="30"/>
  <c r="N23" i="30"/>
  <c r="C23" i="30"/>
  <c r="G22" i="30"/>
  <c r="H22" i="30"/>
  <c r="I22" i="30"/>
  <c r="J22" i="30"/>
  <c r="K22" i="30"/>
  <c r="L22" i="30"/>
  <c r="M22" i="30"/>
  <c r="N22" i="30"/>
  <c r="G21" i="30"/>
  <c r="H21" i="30"/>
  <c r="I21" i="30"/>
  <c r="J21" i="30"/>
  <c r="K21" i="30"/>
  <c r="L21" i="30"/>
  <c r="M21" i="30"/>
  <c r="N21" i="30"/>
  <c r="N20" i="30"/>
  <c r="M20" i="30"/>
  <c r="L20" i="30"/>
  <c r="K20" i="30"/>
  <c r="J20" i="30"/>
  <c r="I20" i="30"/>
  <c r="H20" i="30"/>
  <c r="G20" i="30"/>
  <c r="F19" i="30"/>
  <c r="G19" i="30"/>
  <c r="H19" i="30"/>
  <c r="I19" i="30"/>
  <c r="J19" i="30"/>
  <c r="K19" i="30"/>
  <c r="L19" i="30"/>
  <c r="M19" i="30"/>
  <c r="N19" i="30"/>
  <c r="C19" i="30"/>
  <c r="D18" i="30"/>
  <c r="E18" i="30"/>
  <c r="F18" i="30"/>
  <c r="G18" i="30"/>
  <c r="H18" i="30"/>
  <c r="I18" i="30"/>
  <c r="J18" i="30"/>
  <c r="K18" i="30"/>
  <c r="L18" i="30"/>
  <c r="M18" i="30"/>
  <c r="N18" i="30"/>
  <c r="C18" i="30"/>
  <c r="E20" i="30"/>
  <c r="G16" i="30"/>
  <c r="H16" i="30"/>
  <c r="I16" i="30"/>
  <c r="J16" i="30"/>
  <c r="K16" i="30"/>
  <c r="L16" i="30"/>
  <c r="M16" i="30"/>
  <c r="N16" i="30"/>
  <c r="E15" i="30"/>
  <c r="F15" i="30"/>
  <c r="G15" i="30"/>
  <c r="H15" i="30"/>
  <c r="I15" i="30"/>
  <c r="J15" i="30"/>
  <c r="K15" i="30"/>
  <c r="L15" i="30"/>
  <c r="M15" i="30"/>
  <c r="N15" i="30"/>
  <c r="C15" i="30"/>
  <c r="E14" i="30"/>
  <c r="F14" i="30"/>
  <c r="G14" i="30"/>
  <c r="H14" i="30"/>
  <c r="I14" i="30"/>
  <c r="J14" i="30"/>
  <c r="K14" i="30"/>
  <c r="L14" i="30"/>
  <c r="M14" i="30"/>
  <c r="N14" i="30"/>
  <c r="C14" i="30"/>
  <c r="F13" i="30"/>
  <c r="G13" i="30"/>
  <c r="H13" i="30"/>
  <c r="I13" i="30"/>
  <c r="J13" i="30"/>
  <c r="K13" i="30"/>
  <c r="L13" i="30"/>
  <c r="M13" i="30"/>
  <c r="N13" i="30"/>
  <c r="C13" i="30"/>
  <c r="F12" i="30"/>
  <c r="G12" i="30"/>
  <c r="H12" i="30"/>
  <c r="I12" i="30"/>
  <c r="J12" i="30"/>
  <c r="K12" i="30"/>
  <c r="L12" i="30"/>
  <c r="M12" i="30"/>
  <c r="N12" i="30"/>
  <c r="E11" i="30"/>
  <c r="F11" i="30"/>
  <c r="G11" i="30"/>
  <c r="H11" i="30"/>
  <c r="I11" i="30"/>
  <c r="J11" i="30"/>
  <c r="K11" i="30"/>
  <c r="L11" i="30"/>
  <c r="M11" i="30"/>
  <c r="N11" i="30"/>
  <c r="C11" i="30"/>
  <c r="D10" i="30"/>
  <c r="E10" i="30"/>
  <c r="F10" i="30"/>
  <c r="G10" i="30"/>
  <c r="H10" i="30"/>
  <c r="I10" i="30"/>
  <c r="J10" i="30"/>
  <c r="K10" i="30"/>
  <c r="L10" i="30"/>
  <c r="M10" i="30"/>
  <c r="N10" i="30"/>
  <c r="C10" i="30"/>
  <c r="E9" i="30"/>
  <c r="F9" i="30"/>
  <c r="G9" i="30"/>
  <c r="H9" i="30"/>
  <c r="I9" i="30"/>
  <c r="J9" i="30"/>
  <c r="K9" i="30"/>
  <c r="L9" i="30"/>
  <c r="M9" i="30"/>
  <c r="N9" i="30"/>
  <c r="C9" i="30"/>
  <c r="C33" i="30"/>
  <c r="C32" i="30"/>
  <c r="D20" i="30"/>
  <c r="F33" i="30"/>
  <c r="F21" i="30"/>
  <c r="F20" i="30"/>
  <c r="F30" i="29"/>
  <c r="F22" i="30" l="1"/>
  <c r="F16" i="30"/>
  <c r="F30" i="31"/>
  <c r="F27" i="28"/>
  <c r="G27" i="28"/>
  <c r="H27" i="28"/>
  <c r="I27" i="28"/>
  <c r="J27" i="28"/>
  <c r="K27" i="28"/>
  <c r="L27" i="28"/>
  <c r="M27" i="28"/>
  <c r="N27" i="28"/>
  <c r="G30" i="31"/>
  <c r="H30" i="31"/>
  <c r="I30" i="31"/>
  <c r="J30" i="31"/>
  <c r="K30" i="31"/>
  <c r="L30" i="31"/>
  <c r="M30" i="31"/>
  <c r="N30" i="31"/>
  <c r="G30" i="29"/>
  <c r="H30" i="29"/>
  <c r="I30" i="29"/>
  <c r="J30" i="29"/>
  <c r="K30" i="29"/>
  <c r="L30" i="29"/>
  <c r="M30" i="29"/>
  <c r="N30" i="29"/>
  <c r="D33" i="30"/>
  <c r="E33" i="30"/>
  <c r="G33" i="30"/>
  <c r="H33" i="30"/>
  <c r="I33" i="30"/>
  <c r="J33" i="30"/>
  <c r="K33" i="30"/>
  <c r="L33" i="30"/>
  <c r="M33" i="30"/>
  <c r="N33" i="30"/>
  <c r="D32" i="30"/>
  <c r="E32" i="30"/>
  <c r="F32" i="30"/>
  <c r="G32" i="30"/>
  <c r="H32" i="30"/>
  <c r="I32" i="30"/>
  <c r="J32" i="30"/>
  <c r="K32" i="30"/>
  <c r="L32" i="30"/>
  <c r="M32" i="30"/>
  <c r="N32" i="30"/>
  <c r="F31" i="30"/>
  <c r="G31" i="30"/>
  <c r="H31" i="30"/>
  <c r="I31" i="30"/>
  <c r="J31" i="30"/>
  <c r="K31" i="30"/>
  <c r="L31" i="30"/>
  <c r="M31" i="30"/>
  <c r="N31" i="30"/>
  <c r="O32" i="30" l="1"/>
  <c r="O10" i="30"/>
  <c r="O33" i="30"/>
  <c r="O29" i="30"/>
  <c r="O25" i="30"/>
  <c r="O28" i="30"/>
  <c r="O24" i="30"/>
  <c r="O27" i="30"/>
  <c r="O23" i="30"/>
  <c r="O30" i="30"/>
  <c r="O26" i="30"/>
  <c r="F17" i="30"/>
  <c r="G17" i="30"/>
  <c r="H17" i="30"/>
  <c r="I17" i="30"/>
  <c r="J17" i="30"/>
  <c r="K17" i="30"/>
  <c r="L17" i="30"/>
  <c r="M17" i="30"/>
  <c r="N17" i="30"/>
  <c r="O12" i="28"/>
  <c r="O18" i="28"/>
  <c r="O19" i="28"/>
  <c r="O9" i="28"/>
  <c r="O13" i="28"/>
  <c r="O23" i="28"/>
  <c r="O22" i="28"/>
  <c r="O14" i="28"/>
  <c r="O21" i="28"/>
  <c r="O25" i="28"/>
  <c r="O26" i="28"/>
  <c r="O20" i="28"/>
  <c r="O11" i="31"/>
  <c r="O14" i="31"/>
  <c r="O7" i="31"/>
  <c r="O13" i="31"/>
  <c r="O19" i="31"/>
  <c r="O21" i="31"/>
  <c r="O20" i="31"/>
  <c r="O25" i="31"/>
  <c r="O24" i="31"/>
  <c r="O23" i="31"/>
  <c r="O22" i="31"/>
  <c r="E17" i="30"/>
  <c r="D17" i="30"/>
  <c r="E16" i="30"/>
  <c r="D16" i="30"/>
  <c r="E21" i="30"/>
  <c r="C21" i="30"/>
  <c r="C20" i="30"/>
  <c r="E19" i="30" l="1"/>
  <c r="C16" i="30"/>
  <c r="O16" i="30" s="1"/>
  <c r="C30" i="29"/>
  <c r="O12" i="31"/>
  <c r="O15" i="30"/>
  <c r="C27" i="28"/>
  <c r="C17" i="30"/>
  <c r="J34" i="30"/>
  <c r="O21" i="30"/>
  <c r="H34" i="30"/>
  <c r="N34" i="30"/>
  <c r="M34" i="30"/>
  <c r="G34" i="30"/>
  <c r="O14" i="30"/>
  <c r="L34" i="30"/>
  <c r="O18" i="30"/>
  <c r="K34" i="30"/>
  <c r="I34" i="30"/>
  <c r="O9" i="30"/>
  <c r="F34" i="30"/>
  <c r="O17" i="31"/>
  <c r="O15" i="31"/>
  <c r="O16" i="28"/>
  <c r="O15" i="28"/>
  <c r="D30" i="31"/>
  <c r="C22" i="30"/>
  <c r="O22" i="29"/>
  <c r="E13" i="30"/>
  <c r="D31" i="30"/>
  <c r="C31" i="30"/>
  <c r="O11" i="29"/>
  <c r="O14" i="29"/>
  <c r="O7" i="29"/>
  <c r="O13" i="29"/>
  <c r="O12" i="29"/>
  <c r="O19" i="29"/>
  <c r="O21" i="29"/>
  <c r="O20" i="29"/>
  <c r="O25" i="29"/>
  <c r="O24" i="29"/>
  <c r="O23" i="29"/>
  <c r="O17" i="29"/>
  <c r="O16" i="29"/>
  <c r="D27" i="28"/>
  <c r="D5" i="30"/>
  <c r="E5" i="30"/>
  <c r="F5" i="30"/>
  <c r="G5" i="30"/>
  <c r="H5" i="30"/>
  <c r="I5" i="30"/>
  <c r="J5" i="30"/>
  <c r="K5" i="30"/>
  <c r="L5" i="30"/>
  <c r="M5" i="30"/>
  <c r="N5" i="30"/>
  <c r="C5" i="30"/>
  <c r="D4" i="30"/>
  <c r="E4" i="30"/>
  <c r="F4" i="30"/>
  <c r="G4" i="30"/>
  <c r="H4" i="30"/>
  <c r="I4" i="30"/>
  <c r="J4" i="30"/>
  <c r="K4" i="30"/>
  <c r="L4" i="30"/>
  <c r="M4" i="30"/>
  <c r="N4" i="30"/>
  <c r="C4" i="30"/>
  <c r="D3" i="30"/>
  <c r="E3" i="30"/>
  <c r="C3" i="30"/>
  <c r="O32" i="31"/>
  <c r="O31" i="31"/>
  <c r="O26" i="31"/>
  <c r="O28" i="31"/>
  <c r="O8" i="31"/>
  <c r="O29" i="31"/>
  <c r="N5" i="31"/>
  <c r="M5" i="31"/>
  <c r="L5" i="31"/>
  <c r="K5" i="31"/>
  <c r="J5" i="31"/>
  <c r="I5" i="31"/>
  <c r="H5" i="31"/>
  <c r="G5" i="31"/>
  <c r="F5" i="31"/>
  <c r="E5" i="31"/>
  <c r="D5" i="31"/>
  <c r="C5" i="31"/>
  <c r="O4" i="31"/>
  <c r="O3" i="31"/>
  <c r="D7" i="28"/>
  <c r="C7" i="28"/>
  <c r="E7" i="28"/>
  <c r="O4" i="28"/>
  <c r="O5" i="28"/>
  <c r="O6" i="28"/>
  <c r="F3" i="30"/>
  <c r="G3" i="30"/>
  <c r="H3" i="30"/>
  <c r="I3" i="30"/>
  <c r="J3" i="30"/>
  <c r="K3" i="30"/>
  <c r="L3" i="30"/>
  <c r="M3" i="30"/>
  <c r="N3" i="30"/>
  <c r="D6" i="30"/>
  <c r="E6" i="30"/>
  <c r="F6" i="30"/>
  <c r="G6" i="30"/>
  <c r="H6" i="30"/>
  <c r="I6" i="30"/>
  <c r="J6" i="30"/>
  <c r="K6" i="30"/>
  <c r="L6" i="30"/>
  <c r="M6" i="30"/>
  <c r="N6" i="30"/>
  <c r="C6" i="30"/>
  <c r="O51" i="30"/>
  <c r="O50" i="30"/>
  <c r="O49" i="30"/>
  <c r="O48" i="30"/>
  <c r="O45" i="30"/>
  <c r="O44" i="30"/>
  <c r="O42" i="30"/>
  <c r="O41" i="30"/>
  <c r="O38" i="30"/>
  <c r="O32" i="29"/>
  <c r="O31" i="29"/>
  <c r="O26" i="29"/>
  <c r="O28" i="29"/>
  <c r="O8" i="29"/>
  <c r="O29" i="29"/>
  <c r="N5" i="29"/>
  <c r="M5" i="29"/>
  <c r="L5" i="29"/>
  <c r="K5" i="29"/>
  <c r="J5" i="29"/>
  <c r="I5" i="29"/>
  <c r="H5" i="29"/>
  <c r="G5" i="29"/>
  <c r="F5" i="29"/>
  <c r="E5" i="29"/>
  <c r="D5" i="29"/>
  <c r="C5" i="29"/>
  <c r="O4" i="29"/>
  <c r="O3" i="29"/>
  <c r="O47" i="28"/>
  <c r="O46" i="28"/>
  <c r="O44" i="28"/>
  <c r="O43" i="28"/>
  <c r="O41" i="28"/>
  <c r="O40" i="28"/>
  <c r="O39" i="28"/>
  <c r="O38" i="28"/>
  <c r="O37" i="28"/>
  <c r="O35" i="28"/>
  <c r="O34" i="28"/>
  <c r="M45" i="28"/>
  <c r="L45" i="28"/>
  <c r="O31" i="28"/>
  <c r="O24" i="28"/>
  <c r="N7" i="28"/>
  <c r="M7" i="28"/>
  <c r="L7" i="28"/>
  <c r="K7" i="28"/>
  <c r="J7" i="28"/>
  <c r="I7" i="28"/>
  <c r="H7" i="28"/>
  <c r="G7" i="28"/>
  <c r="F7" i="28"/>
  <c r="O3" i="28"/>
  <c r="D22" i="30" l="1"/>
  <c r="D34" i="30" s="1"/>
  <c r="E22" i="30"/>
  <c r="C12" i="30"/>
  <c r="C34" i="30" s="1"/>
  <c r="C30" i="31"/>
  <c r="C33" i="31" s="1"/>
  <c r="E12" i="30"/>
  <c r="E30" i="31"/>
  <c r="E33" i="31" s="1"/>
  <c r="O17" i="30"/>
  <c r="E27" i="28"/>
  <c r="E52" i="28" s="1"/>
  <c r="O11" i="28"/>
  <c r="E30" i="29"/>
  <c r="O19" i="30"/>
  <c r="D30" i="29"/>
  <c r="D33" i="29" s="1"/>
  <c r="O11" i="30"/>
  <c r="O27" i="29"/>
  <c r="E31" i="30"/>
  <c r="O31" i="30" s="1"/>
  <c r="O18" i="31"/>
  <c r="O17" i="28"/>
  <c r="O20" i="30"/>
  <c r="O13" i="30"/>
  <c r="O10" i="29"/>
  <c r="O27" i="31"/>
  <c r="O10" i="31"/>
  <c r="O9" i="29"/>
  <c r="O10" i="28"/>
  <c r="O27" i="28" s="1"/>
  <c r="L33" i="31"/>
  <c r="L34" i="31" s="1"/>
  <c r="L35" i="31" s="1"/>
  <c r="F33" i="31"/>
  <c r="F34" i="31" s="1"/>
  <c r="F35" i="31" s="1"/>
  <c r="G33" i="31"/>
  <c r="H33" i="31"/>
  <c r="H34" i="31" s="1"/>
  <c r="H35" i="31" s="1"/>
  <c r="N33" i="31"/>
  <c r="N34" i="31" s="1"/>
  <c r="N35" i="31" s="1"/>
  <c r="O15" i="29"/>
  <c r="O6" i="30"/>
  <c r="O4" i="30"/>
  <c r="G52" i="28"/>
  <c r="F52" i="28"/>
  <c r="H52" i="28"/>
  <c r="N33" i="29"/>
  <c r="N34" i="29" s="1"/>
  <c r="N35" i="29" s="1"/>
  <c r="O18" i="29"/>
  <c r="E33" i="29"/>
  <c r="J33" i="29"/>
  <c r="J34" i="29" s="1"/>
  <c r="J35" i="29" s="1"/>
  <c r="M33" i="31"/>
  <c r="M34" i="31" s="1"/>
  <c r="M35" i="31" s="1"/>
  <c r="D33" i="31"/>
  <c r="I33" i="31"/>
  <c r="I34" i="31" s="1"/>
  <c r="J33" i="31"/>
  <c r="J34" i="31" s="1"/>
  <c r="K33" i="31"/>
  <c r="K34" i="31" s="1"/>
  <c r="O5" i="30"/>
  <c r="L33" i="29"/>
  <c r="L34" i="29" s="1"/>
  <c r="L35" i="29" s="1"/>
  <c r="O5" i="31"/>
  <c r="O9" i="31"/>
  <c r="O7" i="28"/>
  <c r="I52" i="28"/>
  <c r="O54" i="30"/>
  <c r="O46" i="30"/>
  <c r="O43" i="30"/>
  <c r="O47" i="30"/>
  <c r="O53" i="30"/>
  <c r="O39" i="30"/>
  <c r="O36" i="30"/>
  <c r="O40" i="30"/>
  <c r="O37" i="30"/>
  <c r="O3" i="30"/>
  <c r="M52" i="28"/>
  <c r="G45" i="28"/>
  <c r="G48" i="28" s="1"/>
  <c r="J45" i="28"/>
  <c r="E45" i="28"/>
  <c r="O30" i="28"/>
  <c r="O36" i="28"/>
  <c r="D45" i="28"/>
  <c r="N45" i="28"/>
  <c r="N52" i="28"/>
  <c r="F45" i="28"/>
  <c r="F48" i="28" s="1"/>
  <c r="L48" i="28"/>
  <c r="L49" i="28" s="1"/>
  <c r="L50" i="28" s="1"/>
  <c r="O32" i="28"/>
  <c r="H45" i="28"/>
  <c r="H48" i="28" s="1"/>
  <c r="C45" i="28"/>
  <c r="C48" i="28" s="1"/>
  <c r="I45" i="28"/>
  <c r="I48" i="28" s="1"/>
  <c r="O42" i="28"/>
  <c r="K52" i="28"/>
  <c r="D52" i="28"/>
  <c r="K45" i="28"/>
  <c r="L52" i="28"/>
  <c r="C52" i="28"/>
  <c r="M33" i="29"/>
  <c r="M34" i="29" s="1"/>
  <c r="M35" i="29" s="1"/>
  <c r="I33" i="29"/>
  <c r="K33" i="29"/>
  <c r="K34" i="29" s="1"/>
  <c r="K35" i="29" s="1"/>
  <c r="O5" i="29"/>
  <c r="F33" i="29"/>
  <c r="H33" i="29"/>
  <c r="G33" i="29"/>
  <c r="C33" i="29"/>
  <c r="O29" i="28"/>
  <c r="O33" i="28"/>
  <c r="O12" i="30" l="1"/>
  <c r="O22" i="30"/>
  <c r="E34" i="30"/>
  <c r="O30" i="31"/>
  <c r="O33" i="31" s="1"/>
  <c r="O37" i="31" s="1"/>
  <c r="O30" i="29"/>
  <c r="O33" i="29" s="1"/>
  <c r="O37" i="29" s="1"/>
  <c r="I35" i="31"/>
  <c r="C34" i="29"/>
  <c r="C35" i="29" s="1"/>
  <c r="G34" i="31"/>
  <c r="G35" i="31" s="1"/>
  <c r="J35" i="31"/>
  <c r="J48" i="28"/>
  <c r="J49" i="28" s="1"/>
  <c r="J50" i="28" s="1"/>
  <c r="K35" i="31"/>
  <c r="C34" i="31"/>
  <c r="C35" i="31" s="1"/>
  <c r="I34" i="29"/>
  <c r="I35" i="29" s="1"/>
  <c r="D34" i="31"/>
  <c r="D35" i="31" s="1"/>
  <c r="E34" i="31"/>
  <c r="E35" i="31" s="1"/>
  <c r="M48" i="28"/>
  <c r="M49" i="28" s="1"/>
  <c r="M50" i="28" s="1"/>
  <c r="J52" i="28"/>
  <c r="K48" i="28"/>
  <c r="K49" i="28" s="1"/>
  <c r="K50" i="28" s="1"/>
  <c r="E48" i="28"/>
  <c r="E49" i="28" s="1"/>
  <c r="E50" i="28" s="1"/>
  <c r="D48" i="28"/>
  <c r="D49" i="28" s="1"/>
  <c r="D50" i="28" s="1"/>
  <c r="N48" i="28"/>
  <c r="H34" i="29"/>
  <c r="H35" i="29" s="1"/>
  <c r="D34" i="29"/>
  <c r="D35" i="29" s="1"/>
  <c r="E34" i="29"/>
  <c r="E35" i="29" s="1"/>
  <c r="G34" i="29"/>
  <c r="G35" i="29" s="1"/>
  <c r="F34" i="29"/>
  <c r="F35" i="29" s="1"/>
  <c r="I49" i="28"/>
  <c r="I50" i="28" s="1"/>
  <c r="F49" i="28"/>
  <c r="F50" i="28" s="1"/>
  <c r="G49" i="28"/>
  <c r="G50" i="28" s="1"/>
  <c r="C49" i="28"/>
  <c r="C50" i="28" s="1"/>
  <c r="H49" i="28"/>
  <c r="H50" i="28" s="1"/>
  <c r="O45" i="28"/>
  <c r="O34" i="30" l="1"/>
  <c r="K7" i="30"/>
  <c r="K52" i="30"/>
  <c r="G52" i="30"/>
  <c r="G7" i="30"/>
  <c r="F52" i="30"/>
  <c r="F7" i="30"/>
  <c r="F55" i="30" s="1"/>
  <c r="F56" i="30" s="1"/>
  <c r="F57" i="30" s="1"/>
  <c r="I52" i="30"/>
  <c r="I7" i="30"/>
  <c r="C7" i="30"/>
  <c r="C52" i="30"/>
  <c r="D7" i="30"/>
  <c r="D52" i="30"/>
  <c r="J52" i="30"/>
  <c r="J7" i="30"/>
  <c r="L52" i="30"/>
  <c r="L7" i="30"/>
  <c r="M7" i="30"/>
  <c r="M52" i="30"/>
  <c r="E7" i="30"/>
  <c r="E52" i="30"/>
  <c r="H52" i="30"/>
  <c r="H7" i="30"/>
  <c r="H55" i="30" s="1"/>
  <c r="H56" i="30" s="1"/>
  <c r="H57" i="30" s="1"/>
  <c r="N52" i="30"/>
  <c r="N7" i="30"/>
  <c r="O48" i="28"/>
  <c r="O54" i="28" s="1"/>
  <c r="O34" i="31"/>
  <c r="O35" i="31" s="1"/>
  <c r="N49" i="28"/>
  <c r="N50" i="28" s="1"/>
  <c r="O34" i="29"/>
  <c r="O35" i="29" s="1"/>
  <c r="L55" i="30" l="1"/>
  <c r="L56" i="30" s="1"/>
  <c r="L57" i="30" s="1"/>
  <c r="J55" i="30"/>
  <c r="J56" i="30" s="1"/>
  <c r="J57" i="30" s="1"/>
  <c r="G55" i="30"/>
  <c r="G56" i="30" s="1"/>
  <c r="G57" i="30" s="1"/>
  <c r="I55" i="30"/>
  <c r="I56" i="30" s="1"/>
  <c r="I57" i="30" s="1"/>
  <c r="N55" i="30"/>
  <c r="N56" i="30" s="1"/>
  <c r="N57" i="30" s="1"/>
  <c r="D55" i="30"/>
  <c r="D56" i="30" s="1"/>
  <c r="D57" i="30" s="1"/>
  <c r="E55" i="30"/>
  <c r="E56" i="30" s="1"/>
  <c r="E57" i="30" s="1"/>
  <c r="M55" i="30"/>
  <c r="M56" i="30" s="1"/>
  <c r="M57" i="30" s="1"/>
  <c r="C55" i="30"/>
  <c r="C56" i="30" s="1"/>
  <c r="C57" i="30" s="1"/>
  <c r="K55" i="30"/>
  <c r="K56" i="30" s="1"/>
  <c r="K57" i="30" s="1"/>
  <c r="O7" i="30"/>
  <c r="O52" i="30"/>
  <c r="O49" i="28"/>
  <c r="O50" i="28" s="1"/>
  <c r="O56" i="30" l="1"/>
  <c r="O55" i="30"/>
  <c r="O57" i="30" l="1"/>
  <c r="O59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 Boss</author>
  </authors>
  <commentList>
    <comment ref="J3" authorId="0" shapeId="0" xr:uid="{E470D91D-495D-4045-8DAE-3D450A987277}">
      <text>
        <r>
          <rPr>
            <b/>
            <sz val="10"/>
            <color indexed="81"/>
            <rFont val="Tahoma"/>
            <family val="2"/>
            <charset val="204"/>
          </rPr>
          <t>Из них город=21 718 917,00:</t>
        </r>
        <r>
          <rPr>
            <sz val="10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 Boss</author>
  </authors>
  <commentList>
    <comment ref="J3" authorId="0" shapeId="0" xr:uid="{FE4C58F6-24E5-4E18-B19C-95E3F053BF0C}">
      <text>
        <r>
          <rPr>
            <b/>
            <sz val="10"/>
            <color indexed="81"/>
            <rFont val="Tahoma"/>
            <family val="2"/>
            <charset val="204"/>
          </rPr>
          <t>Из них город=21 718 917,00:</t>
        </r>
        <r>
          <rPr>
            <sz val="10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 Boss</author>
  </authors>
  <commentList>
    <comment ref="J3" authorId="0" shapeId="0" xr:uid="{16A4E5E6-3370-406C-A2EC-B416A1E9AF57}">
      <text>
        <r>
          <rPr>
            <b/>
            <sz val="10"/>
            <color indexed="81"/>
            <rFont val="Tahoma"/>
            <family val="2"/>
            <charset val="204"/>
          </rPr>
          <t>Из них город=21 718 917,00:</t>
        </r>
        <r>
          <rPr>
            <sz val="10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<sst xmlns="http://schemas.openxmlformats.org/spreadsheetml/2006/main" count="227" uniqueCount="78">
  <si>
    <t>Итого</t>
  </si>
  <si>
    <t>Административные расходы</t>
  </si>
  <si>
    <t>ИТОГО</t>
  </si>
  <si>
    <t xml:space="preserve">ИТОГО </t>
  </si>
  <si>
    <t>Расходы по заработной плате</t>
  </si>
  <si>
    <t>Банковская комиссия</t>
  </si>
  <si>
    <t>Доход от реализации</t>
  </si>
  <si>
    <t>ЧИСТЫЙ ДОХОД</t>
  </si>
  <si>
    <t>Налоги</t>
  </si>
  <si>
    <t>Прочие доходы</t>
  </si>
  <si>
    <t>Прочие расходы</t>
  </si>
  <si>
    <t>ДОХОД ДО КПН</t>
  </si>
  <si>
    <t>КПН</t>
  </si>
  <si>
    <t>Доход от реализации бетона</t>
  </si>
  <si>
    <t>Себестоимость товарного бетона</t>
  </si>
  <si>
    <t>Амортизация ФА</t>
  </si>
  <si>
    <t>Расходы по страховке</t>
  </si>
  <si>
    <t>Январь</t>
  </si>
  <si>
    <t>Февраль</t>
  </si>
  <si>
    <t>Март</t>
  </si>
  <si>
    <t>Апрель</t>
  </si>
  <si>
    <t>Май</t>
  </si>
  <si>
    <t>Вознаграждения по лизингу</t>
  </si>
  <si>
    <t>Июнь</t>
  </si>
  <si>
    <t>Аренда офиса</t>
  </si>
  <si>
    <t>Июль</t>
  </si>
  <si>
    <t>Август</t>
  </si>
  <si>
    <t>Сентябрь</t>
  </si>
  <si>
    <t>Октябрь</t>
  </si>
  <si>
    <t>Ноябрь</t>
  </si>
  <si>
    <t>Декабрь</t>
  </si>
  <si>
    <t>Рентабельность до КПН</t>
  </si>
  <si>
    <t>Содержание офиса</t>
  </si>
  <si>
    <t>ГСМ</t>
  </si>
  <si>
    <t>Прочие доходы (субсидии Даму)</t>
  </si>
  <si>
    <t>Обучение сотрудников</t>
  </si>
  <si>
    <t>Мед осмотр</t>
  </si>
  <si>
    <t>Прямые расходы Бетон</t>
  </si>
  <si>
    <t>Аренда техники</t>
  </si>
  <si>
    <t>GPS</t>
  </si>
  <si>
    <t>Коммунальные услуги</t>
  </si>
  <si>
    <t>Услуги по доставке</t>
  </si>
  <si>
    <t>Списанные материалы</t>
  </si>
  <si>
    <t>Подписка</t>
  </si>
  <si>
    <t>Мед.обслуживание</t>
  </si>
  <si>
    <t>Расходы на проезд</t>
  </si>
  <si>
    <t>Расходы по доставке</t>
  </si>
  <si>
    <t>Расходы по обучению</t>
  </si>
  <si>
    <t>Расходы на питание и проживание</t>
  </si>
  <si>
    <t>Прочие услуги</t>
  </si>
  <si>
    <t>Содержание на сайте офиса+ контейнера</t>
  </si>
  <si>
    <t>Расходы ТШО</t>
  </si>
  <si>
    <t>Амортизация</t>
  </si>
  <si>
    <t>Страхование</t>
  </si>
  <si>
    <t>Аудиторские/ консультационные услуги</t>
  </si>
  <si>
    <t>Услуги связи+интернет</t>
  </si>
  <si>
    <t>Расходы по экологии</t>
  </si>
  <si>
    <t xml:space="preserve">Расходы по перевозке </t>
  </si>
  <si>
    <t>Командировочные расходы(проезд+проживание+суточные)</t>
  </si>
  <si>
    <t>Расходы на утилизацию</t>
  </si>
  <si>
    <t>Расходы на утилизацию+ экологию</t>
  </si>
  <si>
    <t>Содержание на сайте офиса, контейнера, базы, ком.усл</t>
  </si>
  <si>
    <t>Услуги по доставке корресп.и др.</t>
  </si>
  <si>
    <t>Расходы ТШО и Бетон</t>
  </si>
  <si>
    <t>Прочий доход</t>
  </si>
  <si>
    <t>Доход от сдачи в аренду</t>
  </si>
  <si>
    <t>База содержание</t>
  </si>
  <si>
    <t>Заработная плата</t>
  </si>
  <si>
    <t>Интернет+связь</t>
  </si>
  <si>
    <t>Расходны на наем жилья и Суточные</t>
  </si>
  <si>
    <t>Расходны на наем жилья (Эркан)  и Суточные</t>
  </si>
  <si>
    <t>Расходы по СИЗ</t>
  </si>
  <si>
    <t>Расходы на ремонт авто/ оборудования</t>
  </si>
  <si>
    <t>Услуги сторонних/ подрядных организаций</t>
  </si>
  <si>
    <t>Прочие услуги сторонних организаций</t>
  </si>
  <si>
    <t>Интернет+ связь</t>
  </si>
  <si>
    <t>Расходы по ремонту авто/ оборудования</t>
  </si>
  <si>
    <t>Себестоимость реализованной продукции и оказанных услуг/ подрядчики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</si>
</sst>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-* #,##0.00_р_._-;\-* #,##0.00_р_._-;_-* &quot;-&quot;??_р_._-;_-@_-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i/>
      <sz val="11"/>
      <color theme="1"/>
      <name val="Calibri"/>
      <family val="2"/>
      <charset val="204"/>
      <scheme val="minor"/>
    </font>
    <font>
      <b/>
      <i/>
      <u val="singleAccounting"/>
      <sz val="11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color indexed="81"/>
      <name val="Tahoma"/>
      <family val="2"/>
      <charset val="204"/>
    </font>
    <font>
      <b/>
      <sz val="10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165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6" fillId="0" borderId="0"/>
    <xf numFmtId="0" fontId="9" fillId="0" borderId="0"/>
    <xf numFmtId="0" fontId="1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164" fontId="0" fillId="0" borderId="0" xfId="1" applyFont="1"/>
    <xf numFmtId="164" fontId="2" fillId="0" borderId="1" xfId="1" applyFont="1" applyBorder="1" applyAlignment="1">
      <alignment horizontal="right"/>
    </xf>
    <xf numFmtId="164" fontId="0" fillId="0" borderId="0" xfId="1" applyFont="1" applyAlignment="1">
      <alignment horizontal="right"/>
    </xf>
    <xf numFmtId="164" fontId="5" fillId="0" borderId="0" xfId="1" applyFont="1" applyAlignment="1">
      <alignment horizontal="right"/>
    </xf>
    <xf numFmtId="164" fontId="2" fillId="0" borderId="0" xfId="1" applyFont="1" applyAlignment="1">
      <alignment horizontal="right"/>
    </xf>
    <xf numFmtId="164" fontId="2" fillId="0" borderId="3" xfId="1" applyFont="1" applyBorder="1" applyAlignment="1">
      <alignment horizontal="right"/>
    </xf>
    <xf numFmtId="164" fontId="2" fillId="0" borderId="4" xfId="1" applyFont="1" applyBorder="1" applyAlignment="1">
      <alignment horizontal="right"/>
    </xf>
    <xf numFmtId="164" fontId="2" fillId="0" borderId="5" xfId="1" applyFont="1" applyBorder="1" applyAlignment="1">
      <alignment horizontal="right"/>
    </xf>
    <xf numFmtId="164" fontId="0" fillId="0" borderId="6" xfId="1" applyFont="1" applyBorder="1" applyAlignment="1">
      <alignment horizontal="right" wrapText="1"/>
    </xf>
    <xf numFmtId="164" fontId="0" fillId="0" borderId="0" xfId="1" applyFont="1" applyAlignment="1">
      <alignment horizontal="right" wrapText="1"/>
    </xf>
    <xf numFmtId="164" fontId="2" fillId="0" borderId="0" xfId="1" applyFont="1"/>
    <xf numFmtId="164" fontId="2" fillId="0" borderId="7" xfId="1" applyFont="1" applyBorder="1" applyAlignment="1">
      <alignment horizontal="right"/>
    </xf>
    <xf numFmtId="164" fontId="4" fillId="2" borderId="0" xfId="1" applyFont="1" applyFill="1" applyAlignment="1">
      <alignment horizontal="right"/>
    </xf>
    <xf numFmtId="164" fontId="4" fillId="3" borderId="8" xfId="1" applyFont="1" applyFill="1" applyBorder="1" applyAlignment="1">
      <alignment horizontal="right" wrapText="1"/>
    </xf>
    <xf numFmtId="164" fontId="4" fillId="3" borderId="2" xfId="1" applyFont="1" applyFill="1" applyBorder="1" applyAlignment="1">
      <alignment horizontal="right" wrapText="1"/>
    </xf>
    <xf numFmtId="164" fontId="4" fillId="3" borderId="9" xfId="1" applyFont="1" applyFill="1" applyBorder="1" applyAlignment="1">
      <alignment horizontal="right" wrapText="1"/>
    </xf>
    <xf numFmtId="164" fontId="1" fillId="0" borderId="0" xfId="1" applyAlignment="1">
      <alignment horizontal="right"/>
    </xf>
    <xf numFmtId="164" fontId="2" fillId="2" borderId="0" xfId="1" applyFont="1" applyFill="1" applyAlignment="1">
      <alignment horizontal="right"/>
    </xf>
    <xf numFmtId="164" fontId="8" fillId="0" borderId="0" xfId="1" applyFont="1"/>
    <xf numFmtId="164" fontId="8" fillId="0" borderId="0" xfId="1" applyFont="1" applyAlignment="1">
      <alignment horizontal="right"/>
    </xf>
    <xf numFmtId="164" fontId="0" fillId="0" borderId="0" xfId="1" applyFont="1" applyFill="1" applyAlignment="1">
      <alignment horizontal="right"/>
    </xf>
    <xf numFmtId="164" fontId="2" fillId="0" borderId="0" xfId="1" applyFont="1" applyFill="1" applyAlignment="1">
      <alignment horizontal="right"/>
    </xf>
    <xf numFmtId="164" fontId="0" fillId="0" borderId="0" xfId="1" applyFont="1" applyFill="1"/>
    <xf numFmtId="164" fontId="1" fillId="0" borderId="0" xfId="1" applyFill="1" applyAlignment="1">
      <alignment horizontal="right"/>
    </xf>
    <xf numFmtId="0" fontId="2" fillId="0" borderId="0" xfId="1" applyNumberFormat="1" applyFont="1" applyAlignment="1">
      <alignment horizontal="center" vertical="center"/>
    </xf>
    <xf numFmtId="9" fontId="0" fillId="0" borderId="0" xfId="14" applyFont="1"/>
    <xf numFmtId="9" fontId="11" fillId="0" borderId="0" xfId="14" applyFont="1"/>
    <xf numFmtId="164" fontId="0" fillId="0" borderId="0" xfId="1" applyFont="1" applyBorder="1" applyAlignment="1">
      <alignment horizontal="right" wrapText="1"/>
    </xf>
    <xf numFmtId="164" fontId="8" fillId="0" borderId="0" xfId="1" applyFont="1" applyFill="1" applyAlignment="1">
      <alignment horizontal="right"/>
    </xf>
    <xf numFmtId="164" fontId="8" fillId="0" borderId="0" xfId="1" applyFont="1" applyFill="1"/>
    <xf numFmtId="164" fontId="2" fillId="0" borderId="7" xfId="1" applyFont="1" applyFill="1" applyBorder="1" applyAlignment="1">
      <alignment horizontal="right"/>
    </xf>
    <xf numFmtId="164" fontId="0" fillId="0" borderId="6" xfId="1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164" fontId="1" fillId="0" borderId="0" xfId="1" applyFill="1" applyBorder="1" applyAlignment="1">
      <alignment horizontal="right"/>
    </xf>
    <xf numFmtId="164" fontId="1" fillId="4" borderId="0" xfId="1" applyFill="1" applyAlignment="1">
      <alignment horizontal="right"/>
    </xf>
    <xf numFmtId="164" fontId="0" fillId="0" borderId="0" xfId="1" applyFont="1" applyFill="1" applyAlignment="1">
      <alignment horizontal="right" wrapText="1"/>
    </xf>
    <xf numFmtId="164" fontId="0" fillId="4" borderId="0" xfId="1" applyFont="1" applyFill="1" applyAlignment="1">
      <alignment horizontal="right"/>
    </xf>
    <xf numFmtId="164" fontId="0" fillId="0" borderId="6" xfId="1" applyFont="1" applyBorder="1" applyAlignment="1">
      <alignment horizontal="right"/>
    </xf>
    <xf numFmtId="164" fontId="1" fillId="0" borderId="0" xfId="1" applyBorder="1" applyAlignment="1">
      <alignment horizontal="right"/>
    </xf>
    <xf numFmtId="164" fontId="2" fillId="4" borderId="0" xfId="1" applyFont="1" applyFill="1" applyAlignment="1">
      <alignment horizontal="right"/>
    </xf>
    <xf numFmtId="164" fontId="5" fillId="0" borderId="0" xfId="1" applyFont="1" applyFill="1" applyAlignment="1">
      <alignment horizontal="right"/>
    </xf>
    <xf numFmtId="164" fontId="4" fillId="5" borderId="0" xfId="1" applyFont="1" applyFill="1" applyAlignment="1">
      <alignment horizontal="right"/>
    </xf>
    <xf numFmtId="0" fontId="2" fillId="5" borderId="0" xfId="1" applyNumberFormat="1" applyFont="1" applyFill="1" applyAlignment="1">
      <alignment horizontal="center" vertical="center"/>
    </xf>
    <xf numFmtId="0" fontId="2" fillId="5" borderId="0" xfId="1" applyNumberFormat="1" applyFont="1" applyFill="1" applyAlignment="1">
      <alignment horizontal="center"/>
    </xf>
    <xf numFmtId="0" fontId="2" fillId="6" borderId="0" xfId="1" applyNumberFormat="1" applyFont="1" applyFill="1" applyAlignment="1">
      <alignment horizontal="center" vertical="center"/>
    </xf>
    <xf numFmtId="164" fontId="0" fillId="0" borderId="0" xfId="1" applyFont="1" applyAlignment="1">
      <alignment horizontal="left"/>
    </xf>
    <xf numFmtId="164" fontId="0" fillId="0" borderId="0" xfId="1" applyFont="1" applyFill="1" applyAlignment="1">
      <alignment horizontal="left"/>
    </xf>
    <xf numFmtId="164" fontId="8" fillId="0" borderId="0" xfId="1" applyFont="1" applyFill="1" applyAlignment="1">
      <alignment horizontal="left"/>
    </xf>
    <xf numFmtId="164" fontId="8" fillId="0" borderId="0" xfId="1" applyFont="1" applyAlignment="1">
      <alignment horizontal="left"/>
    </xf>
    <xf numFmtId="164" fontId="2" fillId="0" borderId="0" xfId="1" applyFont="1" applyBorder="1" applyAlignment="1">
      <alignment horizontal="right"/>
    </xf>
    <xf numFmtId="164" fontId="2" fillId="0" borderId="0" xfId="1" applyFont="1" applyFill="1" applyBorder="1" applyAlignment="1">
      <alignment horizontal="right"/>
    </xf>
    <xf numFmtId="164" fontId="1" fillId="4" borderId="0" xfId="1" applyFill="1" applyBorder="1" applyAlignment="1">
      <alignment horizontal="right"/>
    </xf>
    <xf numFmtId="164" fontId="0" fillId="4" borderId="0" xfId="1" applyFont="1" applyFill="1" applyBorder="1" applyAlignment="1">
      <alignment horizontal="right"/>
    </xf>
    <xf numFmtId="164" fontId="5" fillId="0" borderId="0" xfId="1" applyFont="1" applyBorder="1" applyAlignment="1">
      <alignment horizontal="right"/>
    </xf>
    <xf numFmtId="164" fontId="2" fillId="4" borderId="0" xfId="1" applyFont="1" applyFill="1" applyBorder="1" applyAlignment="1">
      <alignment horizontal="right"/>
    </xf>
  </cellXfs>
  <cellStyles count="15">
    <cellStyle name="Comma 2" xfId="6" xr:uid="{00000000-0005-0000-0000-000000000000}"/>
    <cellStyle name="Comma 3" xfId="8" xr:uid="{00000000-0005-0000-0000-000001000000}"/>
    <cellStyle name="Comma 4" xfId="4" xr:uid="{00000000-0005-0000-0000-000002000000}"/>
    <cellStyle name="Normal 2" xfId="5" xr:uid="{00000000-0005-0000-0000-000003000000}"/>
    <cellStyle name="Normal 3" xfId="10" xr:uid="{00000000-0005-0000-0000-000004000000}"/>
    <cellStyle name="Normal 4" xfId="11" xr:uid="{00000000-0005-0000-0000-000005000000}"/>
    <cellStyle name="Normal 5" xfId="12" xr:uid="{00000000-0005-0000-0000-000006000000}"/>
    <cellStyle name="Normal 6" xfId="13" xr:uid="{00000000-0005-0000-0000-000007000000}"/>
    <cellStyle name="Percent 2" xfId="9" xr:uid="{00000000-0005-0000-0000-000008000000}"/>
    <cellStyle name="Обычный" xfId="0" builtinId="0"/>
    <cellStyle name="Обычный 2" xfId="3" xr:uid="{00000000-0005-0000-0000-00000A000000}"/>
    <cellStyle name="Процентный" xfId="14" builtinId="5"/>
    <cellStyle name="Финансовый" xfId="1" builtinId="3"/>
    <cellStyle name="Финансовый 2" xfId="2" xr:uid="{00000000-0005-0000-0000-00000D000000}"/>
    <cellStyle name="Финансовый 2 2" xfId="7" xr:uid="{00000000-0005-0000-0000-00000E000000}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D7DE-4635-4D18-945B-BFD5243E08E9}">
  <sheetPr>
    <tabColor theme="9" tint="0.59999389629810485"/>
  </sheetPr>
  <dimension ref="A1:P60"/>
  <sheetViews>
    <sheetView tabSelected="1" zoomScale="80" zoomScaleNormal="80" workbookViewId="0">
      <pane ySplit="1" topLeftCell="A30" activePane="bottomLeft" state="frozen"/>
      <selection pane="bottomLeft" activeCell="B2" sqref="B2"/>
    </sheetView>
  </sheetViews>
  <sheetFormatPr defaultColWidth="9.109375" defaultRowHeight="14.4" x14ac:dyDescent="0.3"/>
  <cols>
    <col min="1" max="1" width="2.88671875" style="1" customWidth="1"/>
    <col min="2" max="2" width="40.21875" style="1" customWidth="1"/>
    <col min="3" max="9" width="18.33203125" style="1" bestFit="1" customWidth="1"/>
    <col min="10" max="13" width="17.77734375" style="1" bestFit="1" customWidth="1"/>
    <col min="14" max="14" width="23.77734375" style="1" bestFit="1" customWidth="1"/>
    <col min="15" max="15" width="19.44140625" style="11" bestFit="1" customWidth="1"/>
    <col min="16" max="16" width="8.77734375" style="1" customWidth="1"/>
    <col min="17" max="17" width="17.77734375" style="1" bestFit="1" customWidth="1"/>
    <col min="18" max="16384" width="9.109375" style="1"/>
  </cols>
  <sheetData>
    <row r="1" spans="2:15" ht="15" thickBot="1" x14ac:dyDescent="0.35">
      <c r="B1" s="5" t="s">
        <v>6</v>
      </c>
      <c r="C1" s="25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23</v>
      </c>
      <c r="I1" s="43" t="s">
        <v>25</v>
      </c>
      <c r="J1" s="43" t="s">
        <v>26</v>
      </c>
      <c r="K1" s="44" t="s">
        <v>27</v>
      </c>
      <c r="L1" s="45" t="s">
        <v>28</v>
      </c>
      <c r="M1" s="44" t="s">
        <v>29</v>
      </c>
      <c r="N1" s="44" t="s">
        <v>30</v>
      </c>
      <c r="O1" s="11" t="s">
        <v>2</v>
      </c>
    </row>
    <row r="2" spans="2:15" x14ac:dyDescent="0.3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s="23" customFormat="1" ht="14.4" customHeight="1" x14ac:dyDescent="0.3">
      <c r="B3" s="32" t="s">
        <v>6</v>
      </c>
      <c r="C3" s="33">
        <f>'P&amp;L 2026 TCO'!C3+'P&amp;L 2026 concrete'!C3+'P&amp;L KPO'!C3</f>
        <v>0</v>
      </c>
      <c r="D3" s="33">
        <f>'P&amp;L 2026 TCO'!D3+'P&amp;L 2026 concrete'!D3+'P&amp;L KPO'!D3</f>
        <v>0</v>
      </c>
      <c r="E3" s="33">
        <f>'P&amp;L 2026 TCO'!E3+'P&amp;L 2026 concrete'!E3+'P&amp;L KPO'!E3</f>
        <v>0</v>
      </c>
      <c r="F3" s="33">
        <f>'P&amp;L 2026 TCO'!F3+'P&amp;L 2026 concrete'!F3</f>
        <v>0</v>
      </c>
      <c r="G3" s="33">
        <f>'P&amp;L 2026 TCO'!G3+'P&amp;L 2026 concrete'!G3</f>
        <v>0</v>
      </c>
      <c r="H3" s="33">
        <f>'P&amp;L 2026 TCO'!H3+'P&amp;L 2026 concrete'!H3</f>
        <v>0</v>
      </c>
      <c r="I3" s="33">
        <f>'P&amp;L 2026 TCO'!I3+'P&amp;L 2026 concrete'!I3</f>
        <v>0</v>
      </c>
      <c r="J3" s="33">
        <f>'P&amp;L 2026 TCO'!J3+'P&amp;L 2026 concrete'!J3</f>
        <v>0</v>
      </c>
      <c r="K3" s="33">
        <f>'P&amp;L 2026 TCO'!K3+'P&amp;L 2026 concrete'!K3</f>
        <v>0</v>
      </c>
      <c r="L3" s="33">
        <f>'P&amp;L 2026 TCO'!L3+'P&amp;L 2026 concrete'!L3</f>
        <v>0</v>
      </c>
      <c r="M3" s="33">
        <f>'P&amp;L 2026 TCO'!M3+'P&amp;L 2026 concrete'!M3</f>
        <v>0</v>
      </c>
      <c r="N3" s="33">
        <f>'P&amp;L 2026 TCO'!N3+'P&amp;L 2026 concrete'!N3</f>
        <v>0</v>
      </c>
      <c r="O3" s="31">
        <f>SUM(C3:N3)</f>
        <v>0</v>
      </c>
    </row>
    <row r="4" spans="2:15" s="23" customFormat="1" x14ac:dyDescent="0.3">
      <c r="B4" s="38" t="s">
        <v>65</v>
      </c>
      <c r="C4" s="33">
        <f>'P&amp;L 2026 concrete'!C4</f>
        <v>0</v>
      </c>
      <c r="D4" s="33">
        <f>'P&amp;L 2026 concrete'!D4</f>
        <v>0</v>
      </c>
      <c r="E4" s="33">
        <f>'P&amp;L 2026 concrete'!E4</f>
        <v>0</v>
      </c>
      <c r="F4" s="33">
        <f>'P&amp;L 2026 concrete'!F4</f>
        <v>0</v>
      </c>
      <c r="G4" s="33">
        <f>'P&amp;L 2026 concrete'!G4</f>
        <v>0</v>
      </c>
      <c r="H4" s="33">
        <f>'P&amp;L 2026 concrete'!H4</f>
        <v>0</v>
      </c>
      <c r="I4" s="33">
        <f>'P&amp;L 2026 concrete'!I4</f>
        <v>0</v>
      </c>
      <c r="J4" s="33">
        <f>'P&amp;L 2026 concrete'!J4</f>
        <v>0</v>
      </c>
      <c r="K4" s="33">
        <f>'P&amp;L 2026 concrete'!K4</f>
        <v>0</v>
      </c>
      <c r="L4" s="33">
        <f>'P&amp;L 2026 concrete'!L4</f>
        <v>0</v>
      </c>
      <c r="M4" s="33">
        <f>'P&amp;L 2026 concrete'!M4</f>
        <v>0</v>
      </c>
      <c r="N4" s="33">
        <f>'P&amp;L 2026 concrete'!N4</f>
        <v>0</v>
      </c>
      <c r="O4" s="31">
        <f>SUM(C4:N4)</f>
        <v>0</v>
      </c>
    </row>
    <row r="5" spans="2:15" s="23" customFormat="1" x14ac:dyDescent="0.3">
      <c r="B5" s="38" t="s">
        <v>64</v>
      </c>
      <c r="C5" s="33">
        <f>'P&amp;L 2026 concrete'!C5</f>
        <v>0</v>
      </c>
      <c r="D5" s="33">
        <f>'P&amp;L 2026 concrete'!D5</f>
        <v>0</v>
      </c>
      <c r="E5" s="33">
        <f>'P&amp;L 2026 concrete'!E5</f>
        <v>0</v>
      </c>
      <c r="F5" s="33">
        <f>'P&amp;L 2026 concrete'!F5</f>
        <v>0</v>
      </c>
      <c r="G5" s="33">
        <f>'P&amp;L 2026 concrete'!G5</f>
        <v>0</v>
      </c>
      <c r="H5" s="33">
        <f>'P&amp;L 2026 concrete'!H5</f>
        <v>0</v>
      </c>
      <c r="I5" s="33">
        <f>'P&amp;L 2026 concrete'!I5</f>
        <v>0</v>
      </c>
      <c r="J5" s="33">
        <f>'P&amp;L 2026 concrete'!J5</f>
        <v>0</v>
      </c>
      <c r="K5" s="33">
        <f>'P&amp;L 2026 concrete'!K5</f>
        <v>0</v>
      </c>
      <c r="L5" s="33">
        <f>'P&amp;L 2026 concrete'!L5</f>
        <v>0</v>
      </c>
      <c r="M5" s="33">
        <f>'P&amp;L 2026 concrete'!M5</f>
        <v>0</v>
      </c>
      <c r="N5" s="33">
        <f>'P&amp;L 2026 concrete'!N5</f>
        <v>0</v>
      </c>
      <c r="O5" s="31">
        <f>SUM(C5:N5)</f>
        <v>0</v>
      </c>
    </row>
    <row r="6" spans="2:15" x14ac:dyDescent="0.3">
      <c r="B6" s="38" t="s">
        <v>34</v>
      </c>
      <c r="C6" s="39">
        <f>'P&amp;L 2026 concrete'!C6</f>
        <v>0</v>
      </c>
      <c r="D6" s="39">
        <f>'P&amp;L 2026 concrete'!D6</f>
        <v>0</v>
      </c>
      <c r="E6" s="39">
        <f>'P&amp;L 2026 concrete'!E6</f>
        <v>0</v>
      </c>
      <c r="F6" s="39">
        <f>'P&amp;L 2026 concrete'!F6</f>
        <v>0</v>
      </c>
      <c r="G6" s="39">
        <f>'P&amp;L 2026 concrete'!G6</f>
        <v>0</v>
      </c>
      <c r="H6" s="39">
        <f>'P&amp;L 2026 concrete'!H6</f>
        <v>0</v>
      </c>
      <c r="I6" s="39">
        <f>'P&amp;L 2026 concrete'!I6</f>
        <v>0</v>
      </c>
      <c r="J6" s="39">
        <f>'P&amp;L 2026 concrete'!J6</f>
        <v>0</v>
      </c>
      <c r="K6" s="39">
        <f>'P&amp;L 2026 concrete'!K6</f>
        <v>0</v>
      </c>
      <c r="L6" s="39">
        <f>'P&amp;L 2026 concrete'!L6</f>
        <v>0</v>
      </c>
      <c r="M6" s="39">
        <f>'P&amp;L 2026 concrete'!M6</f>
        <v>0</v>
      </c>
      <c r="N6" s="39">
        <f>'P&amp;L 2026 concrete'!N6</f>
        <v>0</v>
      </c>
      <c r="O6" s="31">
        <f>SUM(C6:N6)</f>
        <v>0</v>
      </c>
    </row>
    <row r="7" spans="2:15" ht="15" thickBot="1" x14ac:dyDescent="0.35">
      <c r="B7" s="14" t="s">
        <v>3</v>
      </c>
      <c r="C7" s="15">
        <f t="shared" ref="C7:N7" si="0">SUM(C3:C6)</f>
        <v>0</v>
      </c>
      <c r="D7" s="15">
        <f t="shared" si="0"/>
        <v>0</v>
      </c>
      <c r="E7" s="15">
        <f t="shared" si="0"/>
        <v>0</v>
      </c>
      <c r="F7" s="15">
        <f t="shared" si="0"/>
        <v>0</v>
      </c>
      <c r="G7" s="15">
        <f t="shared" si="0"/>
        <v>0</v>
      </c>
      <c r="H7" s="15">
        <f t="shared" si="0"/>
        <v>0</v>
      </c>
      <c r="I7" s="15">
        <f t="shared" si="0"/>
        <v>0</v>
      </c>
      <c r="J7" s="15">
        <f t="shared" si="0"/>
        <v>0</v>
      </c>
      <c r="K7" s="15">
        <f t="shared" si="0"/>
        <v>0</v>
      </c>
      <c r="L7" s="15">
        <f t="shared" si="0"/>
        <v>0</v>
      </c>
      <c r="M7" s="15">
        <f t="shared" si="0"/>
        <v>0</v>
      </c>
      <c r="N7" s="15">
        <f t="shared" si="0"/>
        <v>0</v>
      </c>
      <c r="O7" s="16">
        <f>SUM(O2:O6)</f>
        <v>0</v>
      </c>
    </row>
    <row r="8" spans="2:15" x14ac:dyDescent="0.3">
      <c r="B8" s="2" t="s">
        <v>63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2:15" s="23" customFormat="1" x14ac:dyDescent="0.3">
      <c r="B9" s="53" t="s">
        <v>39</v>
      </c>
      <c r="C9" s="53">
        <f>'P&amp;L 2026 TCO'!C7+'P&amp;L KPO'!C7+'P&amp;L 2026 concrete'!C9</f>
        <v>0</v>
      </c>
      <c r="D9" s="53">
        <f>'P&amp;L 2026 TCO'!D7+'P&amp;L KPO'!D7+'P&amp;L 2026 concrete'!D9</f>
        <v>0</v>
      </c>
      <c r="E9" s="53">
        <f>'P&amp;L 2026 TCO'!E7+'P&amp;L KPO'!E7+'P&amp;L 2026 concrete'!E9</f>
        <v>0</v>
      </c>
      <c r="F9" s="53">
        <f>'P&amp;L 2026 TCO'!F7+'P&amp;L KPO'!F7+'P&amp;L 2026 concrete'!F9</f>
        <v>0</v>
      </c>
      <c r="G9" s="53">
        <f>'P&amp;L 2026 TCO'!G7+'P&amp;L KPO'!G7+'P&amp;L 2026 concrete'!G9</f>
        <v>0</v>
      </c>
      <c r="H9" s="53">
        <f>'P&amp;L 2026 TCO'!H7+'P&amp;L KPO'!H7+'P&amp;L 2026 concrete'!H9</f>
        <v>0</v>
      </c>
      <c r="I9" s="53">
        <f>'P&amp;L 2026 TCO'!I7+'P&amp;L KPO'!I7+'P&amp;L 2026 concrete'!I9</f>
        <v>0</v>
      </c>
      <c r="J9" s="53">
        <f>'P&amp;L 2026 TCO'!J7+'P&amp;L KPO'!J7+'P&amp;L 2026 concrete'!J9</f>
        <v>0</v>
      </c>
      <c r="K9" s="53">
        <f>'P&amp;L 2026 TCO'!K7+'P&amp;L KPO'!K7+'P&amp;L 2026 concrete'!K9</f>
        <v>0</v>
      </c>
      <c r="L9" s="53">
        <f>'P&amp;L 2026 TCO'!L7+'P&amp;L KPO'!L7+'P&amp;L 2026 concrete'!L9</f>
        <v>0</v>
      </c>
      <c r="M9" s="53">
        <f>'P&amp;L 2026 TCO'!M7+'P&amp;L KPO'!M7+'P&amp;L 2026 concrete'!M9</f>
        <v>0</v>
      </c>
      <c r="N9" s="53">
        <f>'P&amp;L 2026 TCO'!N7+'P&amp;L KPO'!N7+'P&amp;L 2026 concrete'!N9</f>
        <v>0</v>
      </c>
      <c r="O9" s="55">
        <f>SUM(C9:N9)</f>
        <v>0</v>
      </c>
    </row>
    <row r="10" spans="2:15" s="23" customFormat="1" x14ac:dyDescent="0.3">
      <c r="B10" s="53" t="s">
        <v>52</v>
      </c>
      <c r="C10" s="37">
        <f>'P&amp;L 2026 TCO'!C8+'P&amp;L KPO'!C8</f>
        <v>0</v>
      </c>
      <c r="D10" s="37">
        <f>'P&amp;L 2026 TCO'!D8+'P&amp;L KPO'!D8</f>
        <v>0</v>
      </c>
      <c r="E10" s="37">
        <f>'P&amp;L 2026 TCO'!E8+'P&amp;L KPO'!E8</f>
        <v>0</v>
      </c>
      <c r="F10" s="37">
        <f>'P&amp;L 2026 TCO'!F8+'P&amp;L KPO'!F8</f>
        <v>0</v>
      </c>
      <c r="G10" s="37">
        <f>'P&amp;L 2026 TCO'!G8+'P&amp;L KPO'!G8</f>
        <v>0</v>
      </c>
      <c r="H10" s="37">
        <f>'P&amp;L 2026 TCO'!H8+'P&amp;L KPO'!H8</f>
        <v>0</v>
      </c>
      <c r="I10" s="37">
        <f>'P&amp;L 2026 TCO'!I8+'P&amp;L KPO'!I8</f>
        <v>0</v>
      </c>
      <c r="J10" s="37">
        <f>'P&amp;L 2026 TCO'!J8+'P&amp;L KPO'!J8</f>
        <v>0</v>
      </c>
      <c r="K10" s="37">
        <f>'P&amp;L 2026 TCO'!K8+'P&amp;L KPO'!K8</f>
        <v>0</v>
      </c>
      <c r="L10" s="37">
        <f>'P&amp;L 2026 TCO'!L8+'P&amp;L KPO'!L8</f>
        <v>0</v>
      </c>
      <c r="M10" s="37">
        <f>'P&amp;L 2026 TCO'!M8+'P&amp;L KPO'!M8</f>
        <v>0</v>
      </c>
      <c r="N10" s="37">
        <f>'P&amp;L 2026 TCO'!N8+'P&amp;L KPO'!N8</f>
        <v>0</v>
      </c>
      <c r="O10" s="55">
        <f t="shared" ref="O10:O33" si="1">SUM(C10:N10)</f>
        <v>0</v>
      </c>
    </row>
    <row r="11" spans="2:15" x14ac:dyDescent="0.3">
      <c r="B11" s="52" t="s">
        <v>24</v>
      </c>
      <c r="C11" s="35">
        <f>'P&amp;L 2026 TCO'!C9+'P&amp;L KPO'!C9</f>
        <v>0</v>
      </c>
      <c r="D11" s="35">
        <f>'P&amp;L 2026 TCO'!D9+'P&amp;L KPO'!D9</f>
        <v>0</v>
      </c>
      <c r="E11" s="35">
        <f>'P&amp;L 2026 TCO'!E9+'P&amp;L KPO'!E9</f>
        <v>0</v>
      </c>
      <c r="F11" s="35">
        <f>'P&amp;L 2026 TCO'!F9+'P&amp;L KPO'!F9</f>
        <v>0</v>
      </c>
      <c r="G11" s="35">
        <f>'P&amp;L 2026 TCO'!G9+'P&amp;L KPO'!G9</f>
        <v>0</v>
      </c>
      <c r="H11" s="35">
        <f>'P&amp;L 2026 TCO'!H9+'P&amp;L KPO'!H9</f>
        <v>0</v>
      </c>
      <c r="I11" s="35">
        <f>'P&amp;L 2026 TCO'!I9+'P&amp;L KPO'!I9</f>
        <v>0</v>
      </c>
      <c r="J11" s="35">
        <f>'P&amp;L 2026 TCO'!J9+'P&amp;L KPO'!J9</f>
        <v>0</v>
      </c>
      <c r="K11" s="35">
        <f>'P&amp;L 2026 TCO'!K9+'P&amp;L KPO'!K9</f>
        <v>0</v>
      </c>
      <c r="L11" s="35">
        <f>'P&amp;L 2026 TCO'!L9+'P&amp;L KPO'!L9</f>
        <v>0</v>
      </c>
      <c r="M11" s="35">
        <f>'P&amp;L 2026 TCO'!M9+'P&amp;L KPO'!M9</f>
        <v>0</v>
      </c>
      <c r="N11" s="35">
        <f>'P&amp;L 2026 TCO'!N9+'P&amp;L KPO'!N9</f>
        <v>0</v>
      </c>
      <c r="O11" s="55">
        <f t="shared" si="1"/>
        <v>0</v>
      </c>
    </row>
    <row r="12" spans="2:15" s="23" customFormat="1" x14ac:dyDescent="0.3">
      <c r="B12" s="53" t="s">
        <v>38</v>
      </c>
      <c r="C12" s="53">
        <f>'P&amp;L 2026 TCO'!C10+'P&amp;L KPO'!C10+'P&amp;L 2026 concrete'!C10</f>
        <v>0</v>
      </c>
      <c r="D12" s="53">
        <f>'P&amp;L 2026 TCO'!D10+'P&amp;L KPO'!D10+'P&amp;L 2026 concrete'!D10</f>
        <v>0</v>
      </c>
      <c r="E12" s="53">
        <f>'P&amp;L 2026 TCO'!E10+'P&amp;L KPO'!E10+'P&amp;L 2026 concrete'!E10</f>
        <v>0</v>
      </c>
      <c r="F12" s="53">
        <f>'P&amp;L 2026 TCO'!F10+'P&amp;L KPO'!F10+'P&amp;L 2026 concrete'!F10</f>
        <v>0</v>
      </c>
      <c r="G12" s="53">
        <f>'P&amp;L 2026 TCO'!G10+'P&amp;L KPO'!G10+'P&amp;L 2026 concrete'!G10</f>
        <v>0</v>
      </c>
      <c r="H12" s="53">
        <f>'P&amp;L 2026 TCO'!H10+'P&amp;L KPO'!H10+'P&amp;L 2026 concrete'!H10</f>
        <v>0</v>
      </c>
      <c r="I12" s="53">
        <f>'P&amp;L 2026 TCO'!I10+'P&amp;L KPO'!I10+'P&amp;L 2026 concrete'!I10</f>
        <v>0</v>
      </c>
      <c r="J12" s="53">
        <f>'P&amp;L 2026 TCO'!J10+'P&amp;L KPO'!J10+'P&amp;L 2026 concrete'!J10</f>
        <v>0</v>
      </c>
      <c r="K12" s="53">
        <f>'P&amp;L 2026 TCO'!K10+'P&amp;L KPO'!K10+'P&amp;L 2026 concrete'!K10</f>
        <v>0</v>
      </c>
      <c r="L12" s="53">
        <f>'P&amp;L 2026 TCO'!L10+'P&amp;L KPO'!L10+'P&amp;L 2026 concrete'!L10</f>
        <v>0</v>
      </c>
      <c r="M12" s="53">
        <f>'P&amp;L 2026 TCO'!M10+'P&amp;L KPO'!M10+'P&amp;L 2026 concrete'!M10</f>
        <v>0</v>
      </c>
      <c r="N12" s="53">
        <f>'P&amp;L 2026 TCO'!N10+'P&amp;L KPO'!N10+'P&amp;L 2026 concrete'!N10</f>
        <v>0</v>
      </c>
      <c r="O12" s="55">
        <f t="shared" si="1"/>
        <v>0</v>
      </c>
    </row>
    <row r="13" spans="2:15" s="23" customFormat="1" x14ac:dyDescent="0.3">
      <c r="B13" s="53" t="s">
        <v>66</v>
      </c>
      <c r="C13" s="53">
        <f>'P&amp;L 2026 concrete'!C11</f>
        <v>0</v>
      </c>
      <c r="D13" s="53">
        <f>'P&amp;L 2026 concrete'!D11</f>
        <v>0</v>
      </c>
      <c r="E13" s="53">
        <f>'P&amp;L 2026 concrete'!E11</f>
        <v>0</v>
      </c>
      <c r="F13" s="53">
        <f>'P&amp;L 2026 concrete'!F11</f>
        <v>0</v>
      </c>
      <c r="G13" s="53">
        <f>'P&amp;L 2026 concrete'!G11</f>
        <v>0</v>
      </c>
      <c r="H13" s="53">
        <f>'P&amp;L 2026 concrete'!H11</f>
        <v>0</v>
      </c>
      <c r="I13" s="53">
        <f>'P&amp;L 2026 concrete'!I11</f>
        <v>0</v>
      </c>
      <c r="J13" s="53">
        <f>'P&amp;L 2026 concrete'!J11</f>
        <v>0</v>
      </c>
      <c r="K13" s="53">
        <f>'P&amp;L 2026 concrete'!K11</f>
        <v>0</v>
      </c>
      <c r="L13" s="53">
        <f>'P&amp;L 2026 concrete'!L11</f>
        <v>0</v>
      </c>
      <c r="M13" s="53">
        <f>'P&amp;L 2026 concrete'!M11</f>
        <v>0</v>
      </c>
      <c r="N13" s="53">
        <f>'P&amp;L 2026 concrete'!N11</f>
        <v>0</v>
      </c>
      <c r="O13" s="55">
        <f t="shared" si="1"/>
        <v>0</v>
      </c>
    </row>
    <row r="14" spans="2:15" s="23" customFormat="1" x14ac:dyDescent="0.3">
      <c r="B14" s="37" t="s">
        <v>33</v>
      </c>
      <c r="C14" s="37">
        <f>'P&amp;L 2026 TCO'!C11+'P&amp;L KPO'!C11+'P&amp;L 2026 concrete'!C12</f>
        <v>0</v>
      </c>
      <c r="D14" s="37">
        <f>'P&amp;L 2026 TCO'!D11+'P&amp;L KPO'!D11+'P&amp;L 2026 concrete'!D12</f>
        <v>0</v>
      </c>
      <c r="E14" s="37">
        <f>'P&amp;L 2026 TCO'!E11+'P&amp;L KPO'!E11+'P&amp;L 2026 concrete'!E12</f>
        <v>0</v>
      </c>
      <c r="F14" s="37">
        <f>'P&amp;L 2026 TCO'!F11+'P&amp;L KPO'!F11+'P&amp;L 2026 concrete'!F12</f>
        <v>0</v>
      </c>
      <c r="G14" s="37">
        <f>'P&amp;L 2026 TCO'!G11+'P&amp;L KPO'!G11+'P&amp;L 2026 concrete'!G12</f>
        <v>0</v>
      </c>
      <c r="H14" s="37">
        <f>'P&amp;L 2026 TCO'!H11+'P&amp;L KPO'!H11+'P&amp;L 2026 concrete'!H12</f>
        <v>0</v>
      </c>
      <c r="I14" s="37">
        <f>'P&amp;L 2026 TCO'!I11+'P&amp;L KPO'!I11+'P&amp;L 2026 concrete'!I12</f>
        <v>0</v>
      </c>
      <c r="J14" s="37">
        <f>'P&amp;L 2026 TCO'!J11+'P&amp;L KPO'!J11+'P&amp;L 2026 concrete'!J12</f>
        <v>0</v>
      </c>
      <c r="K14" s="37">
        <f>'P&amp;L 2026 TCO'!K11+'P&amp;L KPO'!K11+'P&amp;L 2026 concrete'!K12</f>
        <v>0</v>
      </c>
      <c r="L14" s="37">
        <f>'P&amp;L 2026 TCO'!L11+'P&amp;L KPO'!L11+'P&amp;L 2026 concrete'!L12</f>
        <v>0</v>
      </c>
      <c r="M14" s="37">
        <f>'P&amp;L 2026 TCO'!M11+'P&amp;L KPO'!M11+'P&amp;L 2026 concrete'!M12</f>
        <v>0</v>
      </c>
      <c r="N14" s="37">
        <f>'P&amp;L 2026 TCO'!N11+'P&amp;L KPO'!N11+'P&amp;L 2026 concrete'!N12</f>
        <v>0</v>
      </c>
      <c r="O14" s="55">
        <f t="shared" si="1"/>
        <v>0</v>
      </c>
    </row>
    <row r="15" spans="2:15" s="23" customFormat="1" x14ac:dyDescent="0.3">
      <c r="B15" s="37" t="s">
        <v>67</v>
      </c>
      <c r="C15" s="35">
        <f>'P&amp;L 2026 TCO'!C12+'P&amp;L KPO'!C12+'P&amp;L 2026 concrete'!C13</f>
        <v>0</v>
      </c>
      <c r="D15" s="35">
        <f>'P&amp;L 2026 TCO'!D12+'P&amp;L KPO'!D12+'P&amp;L 2026 concrete'!D13</f>
        <v>0</v>
      </c>
      <c r="E15" s="35">
        <f>'P&amp;L 2026 TCO'!E12+'P&amp;L KPO'!E12+'P&amp;L 2026 concrete'!E13</f>
        <v>0</v>
      </c>
      <c r="F15" s="35">
        <f>'P&amp;L 2026 TCO'!F12+'P&amp;L KPO'!F12+'P&amp;L 2026 concrete'!F13</f>
        <v>0</v>
      </c>
      <c r="G15" s="35">
        <f>'P&amp;L 2026 TCO'!G12+'P&amp;L KPO'!G12+'P&amp;L 2026 concrete'!G13</f>
        <v>0</v>
      </c>
      <c r="H15" s="35">
        <f>'P&amp;L 2026 TCO'!H12+'P&amp;L KPO'!H12+'P&amp;L 2026 concrete'!H13</f>
        <v>0</v>
      </c>
      <c r="I15" s="35">
        <f>'P&amp;L 2026 TCO'!I12+'P&amp;L KPO'!I12+'P&amp;L 2026 concrete'!I13</f>
        <v>0</v>
      </c>
      <c r="J15" s="35">
        <f>'P&amp;L 2026 TCO'!J12+'P&amp;L KPO'!J12+'P&amp;L 2026 concrete'!J13</f>
        <v>0</v>
      </c>
      <c r="K15" s="35">
        <f>'P&amp;L 2026 TCO'!K12+'P&amp;L KPO'!K12+'P&amp;L 2026 concrete'!K13</f>
        <v>0</v>
      </c>
      <c r="L15" s="35">
        <f>'P&amp;L 2026 TCO'!L12+'P&amp;L KPO'!L12+'P&amp;L 2026 concrete'!L13</f>
        <v>0</v>
      </c>
      <c r="M15" s="35">
        <f>'P&amp;L 2026 TCO'!M12+'P&amp;L KPO'!M12+'P&amp;L 2026 concrete'!M13</f>
        <v>0</v>
      </c>
      <c r="N15" s="35">
        <f>'P&amp;L 2026 TCO'!N12+'P&amp;L KPO'!N12+'P&amp;L 2026 concrete'!N13</f>
        <v>0</v>
      </c>
      <c r="O15" s="55">
        <f t="shared" si="1"/>
        <v>0</v>
      </c>
    </row>
    <row r="16" spans="2:15" s="23" customFormat="1" x14ac:dyDescent="0.3">
      <c r="B16" s="37" t="s">
        <v>68</v>
      </c>
      <c r="C16" s="37">
        <f>'P&amp;L 2026 TCO'!C13+'P&amp;L KPO'!C13+'P&amp;L 2026 concrete'!C14</f>
        <v>0</v>
      </c>
      <c r="D16" s="37">
        <f>'P&amp;L 2026 TCO'!D13+'P&amp;L KPO'!D13+'P&amp;L 2026 concrete'!D14</f>
        <v>0</v>
      </c>
      <c r="E16" s="37">
        <f>'P&amp;L 2026 TCO'!E13+'P&amp;L KPO'!E13+'P&amp;L 2026 concrete'!E14</f>
        <v>0</v>
      </c>
      <c r="F16" s="37">
        <f>'P&amp;L 2026 TCO'!F13+'P&amp;L KPO'!F13+'P&amp;L 2026 concrete'!F14</f>
        <v>0</v>
      </c>
      <c r="G16" s="37">
        <f>'P&amp;L 2026 TCO'!G13+'P&amp;L KPO'!G13+'P&amp;L 2026 concrete'!G14</f>
        <v>0</v>
      </c>
      <c r="H16" s="37">
        <f>'P&amp;L 2026 TCO'!H13+'P&amp;L KPO'!H13+'P&amp;L 2026 concrete'!H14</f>
        <v>0</v>
      </c>
      <c r="I16" s="37">
        <f>'P&amp;L 2026 TCO'!I13+'P&amp;L KPO'!I13+'P&amp;L 2026 concrete'!I14</f>
        <v>0</v>
      </c>
      <c r="J16" s="37">
        <f>'P&amp;L 2026 TCO'!J13+'P&amp;L KPO'!J13+'P&amp;L 2026 concrete'!J14</f>
        <v>0</v>
      </c>
      <c r="K16" s="37">
        <f>'P&amp;L 2026 TCO'!K13+'P&amp;L KPO'!K13+'P&amp;L 2026 concrete'!K14</f>
        <v>0</v>
      </c>
      <c r="L16" s="37">
        <f>'P&amp;L 2026 TCO'!L13+'P&amp;L KPO'!L13+'P&amp;L 2026 concrete'!L14</f>
        <v>0</v>
      </c>
      <c r="M16" s="37">
        <f>'P&amp;L 2026 TCO'!M13+'P&amp;L KPO'!M13+'P&amp;L 2026 concrete'!M14</f>
        <v>0</v>
      </c>
      <c r="N16" s="37">
        <f>'P&amp;L 2026 TCO'!N13+'P&amp;L KPO'!N13+'P&amp;L 2026 concrete'!N14</f>
        <v>0</v>
      </c>
      <c r="O16" s="55">
        <f t="shared" si="1"/>
        <v>0</v>
      </c>
    </row>
    <row r="17" spans="2:15" s="23" customFormat="1" x14ac:dyDescent="0.3">
      <c r="B17" s="37" t="s">
        <v>40</v>
      </c>
      <c r="C17" s="35">
        <f>'P&amp;L 2026 concrete'!C15</f>
        <v>0</v>
      </c>
      <c r="D17" s="35">
        <f>'P&amp;L 2026 concrete'!D15</f>
        <v>0</v>
      </c>
      <c r="E17" s="35">
        <f>'P&amp;L 2026 concrete'!E15</f>
        <v>0</v>
      </c>
      <c r="F17" s="35">
        <f>'P&amp;L 2026 concrete'!F15</f>
        <v>0</v>
      </c>
      <c r="G17" s="35">
        <f>'P&amp;L 2026 concrete'!G15</f>
        <v>0</v>
      </c>
      <c r="H17" s="35">
        <f>'P&amp;L 2026 concrete'!H15</f>
        <v>0</v>
      </c>
      <c r="I17" s="35">
        <f>'P&amp;L 2026 concrete'!I15</f>
        <v>0</v>
      </c>
      <c r="J17" s="35">
        <f>'P&amp;L 2026 concrete'!J15</f>
        <v>0</v>
      </c>
      <c r="K17" s="35">
        <f>'P&amp;L 2026 concrete'!K15</f>
        <v>0</v>
      </c>
      <c r="L17" s="35">
        <f>'P&amp;L 2026 concrete'!L15</f>
        <v>0</v>
      </c>
      <c r="M17" s="35">
        <f>'P&amp;L 2026 concrete'!M15</f>
        <v>0</v>
      </c>
      <c r="N17" s="35">
        <f>'P&amp;L 2026 concrete'!N15</f>
        <v>0</v>
      </c>
      <c r="O17" s="55">
        <f t="shared" si="1"/>
        <v>0</v>
      </c>
    </row>
    <row r="18" spans="2:15" s="23" customFormat="1" x14ac:dyDescent="0.3">
      <c r="B18" s="37" t="s">
        <v>44</v>
      </c>
      <c r="C18" s="37">
        <f>'P&amp;L 2026 TCO'!C14+'P&amp;L KPO'!C14</f>
        <v>0</v>
      </c>
      <c r="D18" s="37">
        <f>'P&amp;L 2026 TCO'!D14+'P&amp;L KPO'!D14</f>
        <v>0</v>
      </c>
      <c r="E18" s="37">
        <f>'P&amp;L 2026 TCO'!E14+'P&amp;L KPO'!E14</f>
        <v>0</v>
      </c>
      <c r="F18" s="37">
        <f>'P&amp;L 2026 TCO'!F14+'P&amp;L KPO'!F14</f>
        <v>0</v>
      </c>
      <c r="G18" s="37">
        <f>'P&amp;L 2026 TCO'!G14+'P&amp;L KPO'!G14</f>
        <v>0</v>
      </c>
      <c r="H18" s="37">
        <f>'P&amp;L 2026 TCO'!H14+'P&amp;L KPO'!H14</f>
        <v>0</v>
      </c>
      <c r="I18" s="37">
        <f>'P&amp;L 2026 TCO'!I14+'P&amp;L KPO'!I14</f>
        <v>0</v>
      </c>
      <c r="J18" s="37">
        <f>'P&amp;L 2026 TCO'!J14+'P&amp;L KPO'!J14</f>
        <v>0</v>
      </c>
      <c r="K18" s="37">
        <f>'P&amp;L 2026 TCO'!K14+'P&amp;L KPO'!K14</f>
        <v>0</v>
      </c>
      <c r="L18" s="37">
        <f>'P&amp;L 2026 TCO'!L14+'P&amp;L KPO'!L14</f>
        <v>0</v>
      </c>
      <c r="M18" s="37">
        <f>'P&amp;L 2026 TCO'!M14+'P&amp;L KPO'!M14</f>
        <v>0</v>
      </c>
      <c r="N18" s="37">
        <f>'P&amp;L 2026 TCO'!N14+'P&amp;L KPO'!N14</f>
        <v>0</v>
      </c>
      <c r="O18" s="55">
        <f t="shared" si="1"/>
        <v>0</v>
      </c>
    </row>
    <row r="19" spans="2:15" s="23" customFormat="1" x14ac:dyDescent="0.3">
      <c r="B19" s="37" t="s">
        <v>8</v>
      </c>
      <c r="C19" s="37">
        <f>'P&amp;L 2026 TCO'!C15+'P&amp;L KPO'!C15+'P&amp;L 2026 concrete'!C16</f>
        <v>0</v>
      </c>
      <c r="D19" s="37">
        <f>'P&amp;L 2026 TCO'!D15+'P&amp;L KPO'!D15+'P&amp;L 2026 concrete'!D16</f>
        <v>0</v>
      </c>
      <c r="E19" s="37">
        <f>'P&amp;L 2026 TCO'!E15+'P&amp;L KPO'!E15+'P&amp;L 2026 concrete'!E16</f>
        <v>0</v>
      </c>
      <c r="F19" s="37">
        <f>'P&amp;L 2026 TCO'!F15+'P&amp;L KPO'!F15+'P&amp;L 2026 concrete'!F16</f>
        <v>0</v>
      </c>
      <c r="G19" s="37">
        <f>'P&amp;L 2026 TCO'!G15+'P&amp;L KPO'!G15+'P&amp;L 2026 concrete'!G16</f>
        <v>0</v>
      </c>
      <c r="H19" s="37">
        <f>'P&amp;L 2026 TCO'!H15+'P&amp;L KPO'!H15+'P&amp;L 2026 concrete'!H16</f>
        <v>0</v>
      </c>
      <c r="I19" s="37">
        <f>'P&amp;L 2026 TCO'!I15+'P&amp;L KPO'!I15+'P&amp;L 2026 concrete'!I16</f>
        <v>0</v>
      </c>
      <c r="J19" s="37">
        <f>'P&amp;L 2026 TCO'!J15+'P&amp;L KPO'!J15+'P&amp;L 2026 concrete'!J16</f>
        <v>0</v>
      </c>
      <c r="K19" s="37">
        <f>'P&amp;L 2026 TCO'!K15+'P&amp;L KPO'!K15+'P&amp;L 2026 concrete'!K16</f>
        <v>0</v>
      </c>
      <c r="L19" s="37">
        <f>'P&amp;L 2026 TCO'!L15+'P&amp;L KPO'!L15+'P&amp;L 2026 concrete'!L16</f>
        <v>0</v>
      </c>
      <c r="M19" s="37">
        <f>'P&amp;L 2026 TCO'!M15+'P&amp;L KPO'!M15+'P&amp;L 2026 concrete'!M16</f>
        <v>0</v>
      </c>
      <c r="N19" s="37">
        <f>'P&amp;L 2026 TCO'!N15+'P&amp;L KPO'!N15+'P&amp;L 2026 concrete'!N16</f>
        <v>0</v>
      </c>
      <c r="O19" s="55">
        <f t="shared" si="1"/>
        <v>0</v>
      </c>
    </row>
    <row r="20" spans="2:15" s="23" customFormat="1" x14ac:dyDescent="0.3">
      <c r="B20" s="21" t="s">
        <v>49</v>
      </c>
      <c r="C20" s="21">
        <f>'P&amp;L 2026 TCO'!C16+'P&amp;L KPO'!C16+'P&amp;L 2026 concrete'!C17</f>
        <v>0</v>
      </c>
      <c r="D20" s="21">
        <f>'P&amp;L 2026 TCO'!D16+'P&amp;L KPO'!D16+'P&amp;L 2026 concrete'!D17</f>
        <v>0</v>
      </c>
      <c r="E20" s="21">
        <f>'P&amp;L 2026 TCO'!E16+'P&amp;L KPO'!E16+'P&amp;L 2026 concrete'!E17</f>
        <v>0</v>
      </c>
      <c r="F20" s="21">
        <f>'P&amp;L 2026 TCO'!F16+'P&amp;L KPO'!F16+'P&amp;L 2026 concrete'!F17</f>
        <v>0</v>
      </c>
      <c r="G20" s="21">
        <f>'P&amp;L 2026 TCO'!G16+'P&amp;L KPO'!G16+'P&amp;L 2026 concrete'!G17</f>
        <v>0</v>
      </c>
      <c r="H20" s="21">
        <f>'P&amp;L 2026 TCO'!H16+'P&amp;L KPO'!H16+'P&amp;L 2026 concrete'!H17</f>
        <v>0</v>
      </c>
      <c r="I20" s="21">
        <f>'P&amp;L 2026 TCO'!I16+'P&amp;L KPO'!I16+'P&amp;L 2026 concrete'!I17</f>
        <v>0</v>
      </c>
      <c r="J20" s="21">
        <f>'P&amp;L 2026 TCO'!J16+'P&amp;L KPO'!J16+'P&amp;L 2026 concrete'!J17</f>
        <v>0</v>
      </c>
      <c r="K20" s="21">
        <f>'P&amp;L 2026 TCO'!K16+'P&amp;L KPO'!K16+'P&amp;L 2026 concrete'!K17</f>
        <v>0</v>
      </c>
      <c r="L20" s="21">
        <f>'P&amp;L 2026 TCO'!L16+'P&amp;L KPO'!L16+'P&amp;L 2026 concrete'!L17</f>
        <v>0</v>
      </c>
      <c r="M20" s="21">
        <f>'P&amp;L 2026 TCO'!M16+'P&amp;L KPO'!M16+'P&amp;L 2026 concrete'!M17</f>
        <v>0</v>
      </c>
      <c r="N20" s="21">
        <f>'P&amp;L 2026 TCO'!N16+'P&amp;L KPO'!N16+'P&amp;L 2026 concrete'!N17</f>
        <v>0</v>
      </c>
      <c r="O20" s="50">
        <f t="shared" si="1"/>
        <v>0</v>
      </c>
    </row>
    <row r="21" spans="2:15" s="23" customFormat="1" x14ac:dyDescent="0.3">
      <c r="B21" s="37" t="s">
        <v>69</v>
      </c>
      <c r="C21" s="37">
        <f>'P&amp;L 2026 TCO'!C17+'P&amp;L KPO'!C17+'P&amp;L 2026 concrete'!C18</f>
        <v>0</v>
      </c>
      <c r="D21" s="37">
        <f>'P&amp;L 2026 TCO'!D17+'P&amp;L KPO'!D17+'P&amp;L 2026 concrete'!D18</f>
        <v>0</v>
      </c>
      <c r="E21" s="37">
        <f>'P&amp;L 2026 TCO'!E17+'P&amp;L KPO'!E17+'P&amp;L 2026 concrete'!E18</f>
        <v>0</v>
      </c>
      <c r="F21" s="37">
        <f>'P&amp;L 2026 TCO'!F17+'P&amp;L KPO'!F17+'P&amp;L 2026 concrete'!F18</f>
        <v>0</v>
      </c>
      <c r="G21" s="37">
        <f>'P&amp;L 2026 TCO'!G17+'P&amp;L KPO'!G17+'P&amp;L 2026 concrete'!G18</f>
        <v>0</v>
      </c>
      <c r="H21" s="37">
        <f>'P&amp;L 2026 TCO'!H17+'P&amp;L KPO'!H17+'P&amp;L 2026 concrete'!H18</f>
        <v>0</v>
      </c>
      <c r="I21" s="37">
        <f>'P&amp;L 2026 TCO'!I17+'P&amp;L KPO'!I17+'P&amp;L 2026 concrete'!I18</f>
        <v>0</v>
      </c>
      <c r="J21" s="37">
        <f>'P&amp;L 2026 TCO'!J17+'P&amp;L KPO'!J17+'P&amp;L 2026 concrete'!J18</f>
        <v>0</v>
      </c>
      <c r="K21" s="37">
        <f>'P&amp;L 2026 TCO'!K17+'P&amp;L KPO'!K17+'P&amp;L 2026 concrete'!K18</f>
        <v>0</v>
      </c>
      <c r="L21" s="37">
        <f>'P&amp;L 2026 TCO'!L17+'P&amp;L KPO'!L17+'P&amp;L 2026 concrete'!L18</f>
        <v>0</v>
      </c>
      <c r="M21" s="37">
        <f>'P&amp;L 2026 TCO'!M17+'P&amp;L KPO'!M17+'P&amp;L 2026 concrete'!M18</f>
        <v>0</v>
      </c>
      <c r="N21" s="37">
        <f>'P&amp;L 2026 TCO'!N17+'P&amp;L KPO'!N17+'P&amp;L 2026 concrete'!N18</f>
        <v>0</v>
      </c>
      <c r="O21" s="55">
        <f t="shared" si="1"/>
        <v>0</v>
      </c>
    </row>
    <row r="22" spans="2:15" s="23" customFormat="1" x14ac:dyDescent="0.3">
      <c r="B22" s="37" t="s">
        <v>48</v>
      </c>
      <c r="C22" s="37">
        <f>'P&amp;L 2026 TCO'!C18+'P&amp;L KPO'!C18</f>
        <v>0</v>
      </c>
      <c r="D22" s="37">
        <f>'P&amp;L 2026 TCO'!D18+'P&amp;L KPO'!D17</f>
        <v>0</v>
      </c>
      <c r="E22" s="37">
        <f>'P&amp;L 2026 TCO'!E18+'P&amp;L KPO'!E18</f>
        <v>0</v>
      </c>
      <c r="F22" s="37">
        <f>'P&amp;L 2026 TCO'!F18+'P&amp;L KPO'!F18</f>
        <v>0</v>
      </c>
      <c r="G22" s="37">
        <f>'P&amp;L 2026 TCO'!G18+'P&amp;L KPO'!G18</f>
        <v>0</v>
      </c>
      <c r="H22" s="37">
        <f>'P&amp;L 2026 TCO'!H18+'P&amp;L KPO'!H18</f>
        <v>0</v>
      </c>
      <c r="I22" s="37">
        <f>'P&amp;L 2026 TCO'!I18+'P&amp;L KPO'!I18</f>
        <v>0</v>
      </c>
      <c r="J22" s="37">
        <f>'P&amp;L 2026 TCO'!J18+'P&amp;L KPO'!J18</f>
        <v>0</v>
      </c>
      <c r="K22" s="37">
        <f>'P&amp;L 2026 TCO'!K18+'P&amp;L KPO'!K18</f>
        <v>0</v>
      </c>
      <c r="L22" s="37">
        <f>'P&amp;L 2026 TCO'!L18+'P&amp;L KPO'!L18</f>
        <v>0</v>
      </c>
      <c r="M22" s="37">
        <f>'P&amp;L 2026 TCO'!M18+'P&amp;L KPO'!M18</f>
        <v>0</v>
      </c>
      <c r="N22" s="37">
        <f>'P&amp;L 2026 TCO'!N18+'P&amp;L KPO'!N18</f>
        <v>0</v>
      </c>
      <c r="O22" s="55">
        <f t="shared" si="1"/>
        <v>0</v>
      </c>
    </row>
    <row r="23" spans="2:15" s="23" customFormat="1" x14ac:dyDescent="0.3">
      <c r="B23" s="37" t="s">
        <v>45</v>
      </c>
      <c r="C23" s="37">
        <f>'P&amp;L 2026 TCO'!C19+'P&amp;L KPO'!C19+'P&amp;L 2026 concrete'!C19</f>
        <v>0</v>
      </c>
      <c r="D23" s="37">
        <f>'P&amp;L 2026 TCO'!D19+'P&amp;L KPO'!D19+'P&amp;L 2026 concrete'!D19</f>
        <v>0</v>
      </c>
      <c r="E23" s="37">
        <f>'P&amp;L 2026 TCO'!E19+'P&amp;L KPO'!E19+'P&amp;L 2026 concrete'!E19</f>
        <v>0</v>
      </c>
      <c r="F23" s="37">
        <f>'P&amp;L 2026 TCO'!F19+'P&amp;L KPO'!F19+'P&amp;L 2026 concrete'!F19</f>
        <v>0</v>
      </c>
      <c r="G23" s="37">
        <f>'P&amp;L 2026 TCO'!G19+'P&amp;L KPO'!G19+'P&amp;L 2026 concrete'!G19</f>
        <v>0</v>
      </c>
      <c r="H23" s="37">
        <f>'P&amp;L 2026 TCO'!H19+'P&amp;L KPO'!H19+'P&amp;L 2026 concrete'!H19</f>
        <v>0</v>
      </c>
      <c r="I23" s="37">
        <f>'P&amp;L 2026 TCO'!I19+'P&amp;L KPO'!I19+'P&amp;L 2026 concrete'!I19</f>
        <v>0</v>
      </c>
      <c r="J23" s="37">
        <f>'P&amp;L 2026 TCO'!J19+'P&amp;L KPO'!J19+'P&amp;L 2026 concrete'!J19</f>
        <v>0</v>
      </c>
      <c r="K23" s="37">
        <f>'P&amp;L 2026 TCO'!K19+'P&amp;L KPO'!K19+'P&amp;L 2026 concrete'!K19</f>
        <v>0</v>
      </c>
      <c r="L23" s="37">
        <f>'P&amp;L 2026 TCO'!L19+'P&amp;L KPO'!L19+'P&amp;L 2026 concrete'!L19</f>
        <v>0</v>
      </c>
      <c r="M23" s="37">
        <f>'P&amp;L 2026 TCO'!M19+'P&amp;L KPO'!M19+'P&amp;L 2026 concrete'!M19</f>
        <v>0</v>
      </c>
      <c r="N23" s="37">
        <f>'P&amp;L 2026 TCO'!N19+'P&amp;L KPO'!N19+'P&amp;L 2026 concrete'!N19</f>
        <v>0</v>
      </c>
      <c r="O23" s="55">
        <f t="shared" si="1"/>
        <v>0</v>
      </c>
    </row>
    <row r="24" spans="2:15" s="23" customFormat="1" x14ac:dyDescent="0.3">
      <c r="B24" s="37" t="s">
        <v>46</v>
      </c>
      <c r="C24" s="37">
        <f>'P&amp;L 2026 TCO'!C20+'P&amp;L KPO'!C20</f>
        <v>0</v>
      </c>
      <c r="D24" s="37">
        <f>'P&amp;L 2026 TCO'!D20+'P&amp;L KPO'!D20</f>
        <v>0</v>
      </c>
      <c r="E24" s="37">
        <f>'P&amp;L 2026 TCO'!E20+'P&amp;L KPO'!E20</f>
        <v>0</v>
      </c>
      <c r="F24" s="37">
        <f>'P&amp;L 2026 TCO'!F20+'P&amp;L KPO'!F20</f>
        <v>0</v>
      </c>
      <c r="G24" s="37">
        <f>'P&amp;L 2026 TCO'!G20+'P&amp;L KPO'!G20</f>
        <v>0</v>
      </c>
      <c r="H24" s="37">
        <f>'P&amp;L 2026 TCO'!H20+'P&amp;L KPO'!H20</f>
        <v>0</v>
      </c>
      <c r="I24" s="37">
        <f>'P&amp;L 2026 TCO'!I20+'P&amp;L KPO'!I20</f>
        <v>0</v>
      </c>
      <c r="J24" s="37">
        <f>'P&amp;L 2026 TCO'!J20+'P&amp;L KPO'!J20</f>
        <v>0</v>
      </c>
      <c r="K24" s="37">
        <f>'P&amp;L 2026 TCO'!K20+'P&amp;L KPO'!K20</f>
        <v>0</v>
      </c>
      <c r="L24" s="37">
        <f>'P&amp;L 2026 TCO'!L20+'P&amp;L KPO'!L20</f>
        <v>0</v>
      </c>
      <c r="M24" s="37">
        <f>'P&amp;L 2026 TCO'!M20+'P&amp;L KPO'!M20</f>
        <v>0</v>
      </c>
      <c r="N24" s="37">
        <f>'P&amp;L 2026 TCO'!N20+'P&amp;L KPO'!N20</f>
        <v>0</v>
      </c>
      <c r="O24" s="55">
        <f t="shared" si="1"/>
        <v>0</v>
      </c>
    </row>
    <row r="25" spans="2:15" s="23" customFormat="1" x14ac:dyDescent="0.3">
      <c r="B25" s="37" t="s">
        <v>47</v>
      </c>
      <c r="C25" s="37">
        <f>'P&amp;L 2026 TCO'!C21+'P&amp;L KPO'!C21</f>
        <v>0</v>
      </c>
      <c r="D25" s="37">
        <f>'P&amp;L 2026 TCO'!D21+'P&amp;L KPO'!D21</f>
        <v>0</v>
      </c>
      <c r="E25" s="37">
        <f>'P&amp;L 2026 TCO'!E21+'P&amp;L KPO'!E21</f>
        <v>0</v>
      </c>
      <c r="F25" s="37">
        <f>'P&amp;L 2026 TCO'!F21+'P&amp;L KPO'!F21</f>
        <v>0</v>
      </c>
      <c r="G25" s="37">
        <f>'P&amp;L 2026 TCO'!G21+'P&amp;L KPO'!G21</f>
        <v>0</v>
      </c>
      <c r="H25" s="37">
        <f>'P&amp;L 2026 TCO'!H21+'P&amp;L KPO'!H21</f>
        <v>0</v>
      </c>
      <c r="I25" s="37">
        <f>'P&amp;L 2026 TCO'!I21+'P&amp;L KPO'!I21</f>
        <v>0</v>
      </c>
      <c r="J25" s="37">
        <f>'P&amp;L 2026 TCO'!J21+'P&amp;L KPO'!J21</f>
        <v>0</v>
      </c>
      <c r="K25" s="37">
        <f>'P&amp;L 2026 TCO'!K21+'P&amp;L KPO'!K21</f>
        <v>0</v>
      </c>
      <c r="L25" s="37">
        <f>'P&amp;L 2026 TCO'!L21+'P&amp;L KPO'!L21</f>
        <v>0</v>
      </c>
      <c r="M25" s="37">
        <f>'P&amp;L 2026 TCO'!M21+'P&amp;L KPO'!M21</f>
        <v>0</v>
      </c>
      <c r="N25" s="37">
        <f>'P&amp;L 2026 TCO'!N21+'P&amp;L KPO'!N21</f>
        <v>0</v>
      </c>
      <c r="O25" s="55">
        <f t="shared" si="1"/>
        <v>0</v>
      </c>
    </row>
    <row r="26" spans="2:15" s="23" customFormat="1" x14ac:dyDescent="0.3">
      <c r="B26" s="35" t="s">
        <v>57</v>
      </c>
      <c r="C26" s="37">
        <f>'P&amp;L 2026 TCO'!C22+'P&amp;L KPO'!C22+'P&amp;L 2026 concrete'!C20</f>
        <v>0</v>
      </c>
      <c r="D26" s="37">
        <f>'P&amp;L 2026 TCO'!D22+'P&amp;L KPO'!D22+'P&amp;L 2026 concrete'!D20</f>
        <v>0</v>
      </c>
      <c r="E26" s="37">
        <f>'P&amp;L 2026 TCO'!E22+'P&amp;L KPO'!E22+'P&amp;L 2026 concrete'!E20</f>
        <v>0</v>
      </c>
      <c r="F26" s="37">
        <f>'P&amp;L 2026 TCO'!F22+'P&amp;L KPO'!F22+'P&amp;L 2026 concrete'!F20</f>
        <v>0</v>
      </c>
      <c r="G26" s="37">
        <f>'P&amp;L 2026 TCO'!G22+'P&amp;L KPO'!G22+'P&amp;L 2026 concrete'!G20</f>
        <v>0</v>
      </c>
      <c r="H26" s="37">
        <f>'P&amp;L 2026 TCO'!H22+'P&amp;L KPO'!H22+'P&amp;L 2026 concrete'!H20</f>
        <v>0</v>
      </c>
      <c r="I26" s="37">
        <f>'P&amp;L 2026 TCO'!I22+'P&amp;L KPO'!I22+'P&amp;L 2026 concrete'!I20</f>
        <v>0</v>
      </c>
      <c r="J26" s="37">
        <f>'P&amp;L 2026 TCO'!J22+'P&amp;L KPO'!J22+'P&amp;L 2026 concrete'!J20</f>
        <v>0</v>
      </c>
      <c r="K26" s="37">
        <f>'P&amp;L 2026 TCO'!K22+'P&amp;L KPO'!K22+'P&amp;L 2026 concrete'!K20</f>
        <v>0</v>
      </c>
      <c r="L26" s="37">
        <f>'P&amp;L 2026 TCO'!L22+'P&amp;L KPO'!L22+'P&amp;L 2026 concrete'!L20</f>
        <v>0</v>
      </c>
      <c r="M26" s="37">
        <f>'P&amp;L 2026 TCO'!M22+'P&amp;L KPO'!M22+'P&amp;L 2026 concrete'!M20</f>
        <v>0</v>
      </c>
      <c r="N26" s="37">
        <f>'P&amp;L 2026 TCO'!N22+'P&amp;L KPO'!N22+'P&amp;L 2026 concrete'!N20</f>
        <v>0</v>
      </c>
      <c r="O26" s="55">
        <f t="shared" si="1"/>
        <v>0</v>
      </c>
    </row>
    <row r="27" spans="2:15" s="23" customFormat="1" x14ac:dyDescent="0.3">
      <c r="B27" s="37" t="s">
        <v>71</v>
      </c>
      <c r="C27" s="37">
        <f>'P&amp;L 2026 TCO'!C23+'P&amp;L KPO'!C23+'P&amp;L 2026 concrete'!C21</f>
        <v>0</v>
      </c>
      <c r="D27" s="37">
        <f>'P&amp;L 2026 TCO'!D23+'P&amp;L KPO'!D23+'P&amp;L 2026 concrete'!D21</f>
        <v>0</v>
      </c>
      <c r="E27" s="37">
        <f>'P&amp;L 2026 TCO'!E23+'P&amp;L KPO'!E23+'P&amp;L 2026 concrete'!E21</f>
        <v>0</v>
      </c>
      <c r="F27" s="37">
        <f>'P&amp;L 2026 TCO'!F23+'P&amp;L KPO'!F23+'P&amp;L 2026 concrete'!F21</f>
        <v>0</v>
      </c>
      <c r="G27" s="37">
        <f>'P&amp;L 2026 TCO'!G23+'P&amp;L KPO'!G23+'P&amp;L 2026 concrete'!G21</f>
        <v>0</v>
      </c>
      <c r="H27" s="37">
        <f>'P&amp;L 2026 TCO'!H23+'P&amp;L KPO'!H23+'P&amp;L 2026 concrete'!H21</f>
        <v>0</v>
      </c>
      <c r="I27" s="37">
        <f>'P&amp;L 2026 TCO'!I23+'P&amp;L KPO'!I23+'P&amp;L 2026 concrete'!I21</f>
        <v>0</v>
      </c>
      <c r="J27" s="37">
        <f>'P&amp;L 2026 TCO'!J23+'P&amp;L KPO'!J23+'P&amp;L 2026 concrete'!J21</f>
        <v>0</v>
      </c>
      <c r="K27" s="37">
        <f>'P&amp;L 2026 TCO'!K23+'P&amp;L KPO'!K23+'P&amp;L 2026 concrete'!K21</f>
        <v>0</v>
      </c>
      <c r="L27" s="37">
        <f>'P&amp;L 2026 TCO'!L23+'P&amp;L KPO'!L23+'P&amp;L 2026 concrete'!L21</f>
        <v>0</v>
      </c>
      <c r="M27" s="37">
        <f>'P&amp;L 2026 TCO'!M23+'P&amp;L KPO'!M23+'P&amp;L 2026 concrete'!M21</f>
        <v>0</v>
      </c>
      <c r="N27" s="37">
        <f>'P&amp;L 2026 TCO'!N23+'P&amp;L KPO'!N23+'P&amp;L 2026 concrete'!N21</f>
        <v>0</v>
      </c>
      <c r="O27" s="55">
        <f t="shared" si="1"/>
        <v>0</v>
      </c>
    </row>
    <row r="28" spans="2:15" s="23" customFormat="1" x14ac:dyDescent="0.3">
      <c r="B28" s="21" t="s">
        <v>60</v>
      </c>
      <c r="C28" s="21">
        <f>'P&amp;L 2026 TCO'!C24+'P&amp;L KPO'!C24+'P&amp;L 2026 concrete'!C22</f>
        <v>0</v>
      </c>
      <c r="D28" s="21">
        <f>'P&amp;L 2026 TCO'!D24+'P&amp;L KPO'!D24+'P&amp;L 2026 concrete'!D22</f>
        <v>0</v>
      </c>
      <c r="E28" s="21">
        <f>'P&amp;L 2026 TCO'!E24+'P&amp;L KPO'!E24+'P&amp;L 2026 concrete'!E22</f>
        <v>0</v>
      </c>
      <c r="F28" s="21">
        <f>'P&amp;L 2026 TCO'!F24+'P&amp;L KPO'!F24+'P&amp;L 2026 concrete'!F22</f>
        <v>0</v>
      </c>
      <c r="G28" s="21">
        <f>'P&amp;L 2026 TCO'!G24+'P&amp;L KPO'!G24+'P&amp;L 2026 concrete'!G22</f>
        <v>0</v>
      </c>
      <c r="H28" s="21">
        <f>'P&amp;L 2026 TCO'!H24+'P&amp;L KPO'!H24+'P&amp;L 2026 concrete'!H22</f>
        <v>0</v>
      </c>
      <c r="I28" s="21">
        <f>'P&amp;L 2026 TCO'!I24+'P&amp;L KPO'!I24+'P&amp;L 2026 concrete'!I22</f>
        <v>0</v>
      </c>
      <c r="J28" s="21">
        <f>'P&amp;L 2026 TCO'!J24+'P&amp;L KPO'!J24+'P&amp;L 2026 concrete'!J22</f>
        <v>0</v>
      </c>
      <c r="K28" s="21">
        <f>'P&amp;L 2026 TCO'!K24+'P&amp;L KPO'!K24+'P&amp;L 2026 concrete'!K22</f>
        <v>0</v>
      </c>
      <c r="L28" s="21">
        <f>'P&amp;L 2026 TCO'!L24+'P&amp;L KPO'!L24+'P&amp;L 2026 concrete'!L22</f>
        <v>0</v>
      </c>
      <c r="M28" s="21">
        <f>'P&amp;L 2026 TCO'!M24+'P&amp;L KPO'!M24+'P&amp;L 2026 concrete'!M22</f>
        <v>0</v>
      </c>
      <c r="N28" s="21">
        <f>'P&amp;L 2026 TCO'!N24+'P&amp;L KPO'!N24+'P&amp;L 2026 concrete'!N22</f>
        <v>0</v>
      </c>
      <c r="O28" s="50">
        <f t="shared" si="1"/>
        <v>0</v>
      </c>
    </row>
    <row r="29" spans="2:15" s="23" customFormat="1" x14ac:dyDescent="0.3">
      <c r="B29" s="21" t="s">
        <v>72</v>
      </c>
      <c r="C29" s="21">
        <f>'P&amp;L 2026 TCO'!C25+'P&amp;L KPO'!C25+'P&amp;L 2026 concrete'!C23</f>
        <v>0</v>
      </c>
      <c r="D29" s="21">
        <f>'P&amp;L 2026 TCO'!D25+'P&amp;L KPO'!D25+'P&amp;L 2026 concrete'!D23</f>
        <v>0</v>
      </c>
      <c r="E29" s="21">
        <f>'P&amp;L 2026 TCO'!E25+'P&amp;L KPO'!E25+'P&amp;L 2026 concrete'!E23</f>
        <v>0</v>
      </c>
      <c r="F29" s="21">
        <f>'P&amp;L 2026 TCO'!F25+'P&amp;L KPO'!F25+'P&amp;L 2026 concrete'!F23</f>
        <v>0</v>
      </c>
      <c r="G29" s="21">
        <f>'P&amp;L 2026 TCO'!G25+'P&amp;L KPO'!G25+'P&amp;L 2026 concrete'!G23</f>
        <v>0</v>
      </c>
      <c r="H29" s="21">
        <f>'P&amp;L 2026 TCO'!H25+'P&amp;L KPO'!H25+'P&amp;L 2026 concrete'!H23</f>
        <v>0</v>
      </c>
      <c r="I29" s="21">
        <f>'P&amp;L 2026 TCO'!I25+'P&amp;L KPO'!I25+'P&amp;L 2026 concrete'!I23</f>
        <v>0</v>
      </c>
      <c r="J29" s="21">
        <f>'P&amp;L 2026 TCO'!J25+'P&amp;L KPO'!J25+'P&amp;L 2026 concrete'!J23</f>
        <v>0</v>
      </c>
      <c r="K29" s="21">
        <f>'P&amp;L 2026 TCO'!K25+'P&amp;L KPO'!K25+'P&amp;L 2026 concrete'!K23</f>
        <v>0</v>
      </c>
      <c r="L29" s="21">
        <f>'P&amp;L 2026 TCO'!L25+'P&amp;L KPO'!L25+'P&amp;L 2026 concrete'!L23</f>
        <v>0</v>
      </c>
      <c r="M29" s="21">
        <f>'P&amp;L 2026 TCO'!M25+'P&amp;L KPO'!M25+'P&amp;L 2026 concrete'!M23</f>
        <v>0</v>
      </c>
      <c r="N29" s="21">
        <f>'P&amp;L 2026 TCO'!N25+'P&amp;L KPO'!N25+'P&amp;L 2026 concrete'!N23</f>
        <v>0</v>
      </c>
      <c r="O29" s="50">
        <f t="shared" si="1"/>
        <v>0</v>
      </c>
    </row>
    <row r="30" spans="2:15" ht="28.8" x14ac:dyDescent="0.3">
      <c r="B30" s="36" t="s">
        <v>77</v>
      </c>
      <c r="C30" s="17">
        <f>'P&amp;L 2026 TCO'!C26+'P&amp;L KPO'!C26+'P&amp;L 2026 concrete'!C24</f>
        <v>0</v>
      </c>
      <c r="D30" s="17">
        <f>'P&amp;L 2026 TCO'!D26+'P&amp;L KPO'!D26+'P&amp;L 2026 concrete'!D24</f>
        <v>0</v>
      </c>
      <c r="E30" s="17">
        <f>'P&amp;L 2026 TCO'!E26+'P&amp;L KPO'!E26+'P&amp;L 2026 concrete'!E24</f>
        <v>0</v>
      </c>
      <c r="F30" s="17">
        <f>'P&amp;L 2026 TCO'!F26+'P&amp;L KPO'!F26+'P&amp;L 2026 concrete'!F24</f>
        <v>0</v>
      </c>
      <c r="G30" s="17">
        <f>'P&amp;L 2026 TCO'!G26+'P&amp;L KPO'!G26+'P&amp;L 2026 concrete'!G24</f>
        <v>0</v>
      </c>
      <c r="H30" s="17">
        <f>'P&amp;L 2026 TCO'!H26+'P&amp;L KPO'!H26+'P&amp;L 2026 concrete'!H24</f>
        <v>0</v>
      </c>
      <c r="I30" s="17">
        <f>'P&amp;L 2026 TCO'!I26+'P&amp;L KPO'!I26+'P&amp;L 2026 concrete'!I24</f>
        <v>0</v>
      </c>
      <c r="J30" s="17">
        <f>'P&amp;L 2026 TCO'!J26+'P&amp;L KPO'!J26+'P&amp;L 2026 concrete'!J24</f>
        <v>0</v>
      </c>
      <c r="K30" s="17">
        <f>'P&amp;L 2026 TCO'!K26+'P&amp;L KPO'!K26+'P&amp;L 2026 concrete'!K24</f>
        <v>0</v>
      </c>
      <c r="L30" s="17">
        <f>'P&amp;L 2026 TCO'!L26+'P&amp;L KPO'!L26+'P&amp;L 2026 concrete'!L24</f>
        <v>0</v>
      </c>
      <c r="M30" s="17">
        <f>'P&amp;L 2026 TCO'!M26+'P&amp;L KPO'!M26+'P&amp;L 2026 concrete'!M24</f>
        <v>0</v>
      </c>
      <c r="N30" s="17">
        <f>'P&amp;L 2026 TCO'!N26+'P&amp;L KPO'!N26+'P&amp;L 2026 concrete'!N24</f>
        <v>0</v>
      </c>
      <c r="O30" s="50">
        <f t="shared" si="1"/>
        <v>0</v>
      </c>
    </row>
    <row r="31" spans="2:15" s="23" customFormat="1" ht="28.8" x14ac:dyDescent="0.3">
      <c r="B31" s="36" t="s">
        <v>61</v>
      </c>
      <c r="C31" s="21">
        <f>'P&amp;L 2026 TCO'!C27+'P&amp;L KPO'!C27</f>
        <v>0</v>
      </c>
      <c r="D31" s="21">
        <f>'P&amp;L 2026 TCO'!D27+'P&amp;L KPO'!D27</f>
        <v>0</v>
      </c>
      <c r="E31" s="21">
        <f>'P&amp;L 2026 TCO'!E27+'P&amp;L KPO'!E27</f>
        <v>0</v>
      </c>
      <c r="F31" s="21">
        <f>'P&amp;L 2026 TCO'!F27+'P&amp;L KPO'!F27</f>
        <v>0</v>
      </c>
      <c r="G31" s="21">
        <f>'P&amp;L 2026 TCO'!G27+'P&amp;L KPO'!G27</f>
        <v>0</v>
      </c>
      <c r="H31" s="21">
        <f>'P&amp;L 2026 TCO'!H27+'P&amp;L KPO'!H27</f>
        <v>0</v>
      </c>
      <c r="I31" s="21">
        <f>'P&amp;L 2026 TCO'!I27+'P&amp;L KPO'!I27</f>
        <v>0</v>
      </c>
      <c r="J31" s="21">
        <f>'P&amp;L 2026 TCO'!J27+'P&amp;L KPO'!J27</f>
        <v>0</v>
      </c>
      <c r="K31" s="21">
        <f>'P&amp;L 2026 TCO'!K27+'P&amp;L KPO'!K27</f>
        <v>0</v>
      </c>
      <c r="L31" s="21">
        <f>'P&amp;L 2026 TCO'!L27+'P&amp;L KPO'!L27</f>
        <v>0</v>
      </c>
      <c r="M31" s="21">
        <f>'P&amp;L 2026 TCO'!M27+'P&amp;L KPO'!M27</f>
        <v>0</v>
      </c>
      <c r="N31" s="21">
        <f>'P&amp;L 2026 TCO'!N27+'P&amp;L KPO'!N27</f>
        <v>0</v>
      </c>
      <c r="O31" s="50">
        <f t="shared" si="1"/>
        <v>0</v>
      </c>
    </row>
    <row r="32" spans="2:15" s="23" customFormat="1" x14ac:dyDescent="0.3">
      <c r="B32" s="21" t="s">
        <v>42</v>
      </c>
      <c r="C32" s="21">
        <f>'P&amp;L 2026 TCO'!C28+'P&amp;L KPO'!C28+'P&amp;L 2026 concrete'!C25</f>
        <v>0</v>
      </c>
      <c r="D32" s="21">
        <f>'P&amp;L 2026 TCO'!D28+'P&amp;L KPO'!D28+'P&amp;L 2026 concrete'!D25</f>
        <v>0</v>
      </c>
      <c r="E32" s="21">
        <f>'P&amp;L 2026 TCO'!E28+'P&amp;L KPO'!E28+'P&amp;L 2026 concrete'!E25</f>
        <v>0</v>
      </c>
      <c r="F32" s="21">
        <f>'P&amp;L 2026 TCO'!F28+'P&amp;L KPO'!F28+'P&amp;L 2026 concrete'!F25</f>
        <v>0</v>
      </c>
      <c r="G32" s="21">
        <f>'P&amp;L 2026 TCO'!G28+'P&amp;L KPO'!G28+'P&amp;L 2026 concrete'!G25</f>
        <v>0</v>
      </c>
      <c r="H32" s="21">
        <f>'P&amp;L 2026 TCO'!H28+'P&amp;L KPO'!H28+'P&amp;L 2026 concrete'!H25</f>
        <v>0</v>
      </c>
      <c r="I32" s="21">
        <f>'P&amp;L 2026 TCO'!I28+'P&amp;L KPO'!I28+'P&amp;L 2026 concrete'!I25</f>
        <v>0</v>
      </c>
      <c r="J32" s="21">
        <f>'P&amp;L 2026 TCO'!J28+'P&amp;L KPO'!J28+'P&amp;L 2026 concrete'!J25</f>
        <v>0</v>
      </c>
      <c r="K32" s="21">
        <f>'P&amp;L 2026 TCO'!K28+'P&amp;L KPO'!K28+'P&amp;L 2026 concrete'!K25</f>
        <v>0</v>
      </c>
      <c r="L32" s="21">
        <f>'P&amp;L 2026 TCO'!L28+'P&amp;L KPO'!L28+'P&amp;L 2026 concrete'!L25</f>
        <v>0</v>
      </c>
      <c r="M32" s="21">
        <f>'P&amp;L 2026 TCO'!M28+'P&amp;L KPO'!M28+'P&amp;L 2026 concrete'!M25</f>
        <v>0</v>
      </c>
      <c r="N32" s="21">
        <f>'P&amp;L 2026 TCO'!N28+'P&amp;L KPO'!N28+'P&amp;L 2026 concrete'!N25</f>
        <v>0</v>
      </c>
      <c r="O32" s="50">
        <f t="shared" si="1"/>
        <v>0</v>
      </c>
    </row>
    <row r="33" spans="2:15" s="23" customFormat="1" x14ac:dyDescent="0.3">
      <c r="B33" s="37" t="s">
        <v>53</v>
      </c>
      <c r="C33" s="37">
        <f>'P&amp;L 2026 TCO'!C29+'P&amp;L KPO'!C29+'P&amp;L 2026 concrete'!C26</f>
        <v>0</v>
      </c>
      <c r="D33" s="37">
        <f>'P&amp;L 2026 TCO'!D29+'P&amp;L KPO'!D29+'P&amp;L 2026 concrete'!D26</f>
        <v>0</v>
      </c>
      <c r="E33" s="37">
        <f>'P&amp;L 2026 TCO'!E29+'P&amp;L KPO'!E29+'P&amp;L 2026 concrete'!E26</f>
        <v>0</v>
      </c>
      <c r="F33" s="37">
        <f>'P&amp;L 2026 TCO'!F29+'P&amp;L KPO'!F29+'P&amp;L 2026 concrete'!F26</f>
        <v>0</v>
      </c>
      <c r="G33" s="37">
        <f>'P&amp;L 2026 TCO'!G29+'P&amp;L KPO'!G29+'P&amp;L 2026 concrete'!G26</f>
        <v>0</v>
      </c>
      <c r="H33" s="37">
        <f>'P&amp;L 2026 TCO'!H29+'P&amp;L KPO'!H29+'P&amp;L 2026 concrete'!H26</f>
        <v>0</v>
      </c>
      <c r="I33" s="37">
        <f>'P&amp;L 2026 TCO'!I29+'P&amp;L KPO'!I29+'P&amp;L 2026 concrete'!I26</f>
        <v>0</v>
      </c>
      <c r="J33" s="37">
        <f>'P&amp;L 2026 TCO'!J29+'P&amp;L KPO'!J29+'P&amp;L 2026 concrete'!J26</f>
        <v>0</v>
      </c>
      <c r="K33" s="37">
        <f>'P&amp;L 2026 TCO'!K29+'P&amp;L KPO'!K29+'P&amp;L 2026 concrete'!K26</f>
        <v>0</v>
      </c>
      <c r="L33" s="37">
        <f>'P&amp;L 2026 TCO'!L29+'P&amp;L KPO'!L29+'P&amp;L 2026 concrete'!L26</f>
        <v>0</v>
      </c>
      <c r="M33" s="37">
        <f>'P&amp;L 2026 TCO'!M29+'P&amp;L KPO'!M29+'P&amp;L 2026 concrete'!M26</f>
        <v>0</v>
      </c>
      <c r="N33" s="37">
        <f>'P&amp;L 2026 TCO'!N29+'P&amp;L KPO'!N29+'P&amp;L 2026 concrete'!N26</f>
        <v>0</v>
      </c>
      <c r="O33" s="50">
        <f t="shared" si="1"/>
        <v>0</v>
      </c>
    </row>
    <row r="34" spans="2:15" x14ac:dyDescent="0.3">
      <c r="B34" s="13" t="s">
        <v>0</v>
      </c>
      <c r="C34" s="13">
        <f t="shared" ref="C34:O34" si="2">SUM(C9:C33)</f>
        <v>0</v>
      </c>
      <c r="D34" s="13">
        <f>SUM(D9:D33)</f>
        <v>0</v>
      </c>
      <c r="E34" s="13">
        <f t="shared" si="2"/>
        <v>0</v>
      </c>
      <c r="F34" s="13">
        <f t="shared" si="2"/>
        <v>0</v>
      </c>
      <c r="G34" s="13">
        <f t="shared" si="2"/>
        <v>0</v>
      </c>
      <c r="H34" s="13">
        <f t="shared" si="2"/>
        <v>0</v>
      </c>
      <c r="I34" s="13">
        <f t="shared" si="2"/>
        <v>0</v>
      </c>
      <c r="J34" s="13">
        <f t="shared" si="2"/>
        <v>0</v>
      </c>
      <c r="K34" s="13">
        <f t="shared" si="2"/>
        <v>0</v>
      </c>
      <c r="L34" s="13">
        <f t="shared" si="2"/>
        <v>0</v>
      </c>
      <c r="M34" s="13">
        <f t="shared" si="2"/>
        <v>0</v>
      </c>
      <c r="N34" s="13">
        <f t="shared" si="2"/>
        <v>0</v>
      </c>
      <c r="O34" s="13">
        <f t="shared" si="2"/>
        <v>0</v>
      </c>
    </row>
    <row r="35" spans="2:15" ht="16.2" customHeight="1" x14ac:dyDescent="0.45">
      <c r="B35" s="54" t="s">
        <v>1</v>
      </c>
      <c r="C35" s="4"/>
      <c r="D35" s="41"/>
      <c r="E35" s="4"/>
      <c r="F35" s="4"/>
      <c r="G35" s="4"/>
      <c r="H35" s="4"/>
      <c r="I35" s="4"/>
      <c r="J35" s="4"/>
      <c r="K35" s="4"/>
      <c r="L35" s="4"/>
      <c r="M35" s="4"/>
      <c r="N35" s="4"/>
      <c r="O35" s="50"/>
    </row>
    <row r="36" spans="2:15" x14ac:dyDescent="0.3">
      <c r="B36" s="21" t="s">
        <v>4</v>
      </c>
      <c r="C36" s="21"/>
      <c r="D36" s="24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2">
        <f t="shared" ref="O36:O51" si="3">SUM(C36:N36)</f>
        <v>0</v>
      </c>
    </row>
    <row r="37" spans="2:15" x14ac:dyDescent="0.3">
      <c r="B37" s="21" t="s">
        <v>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2">
        <f t="shared" si="3"/>
        <v>0</v>
      </c>
    </row>
    <row r="38" spans="2:15" s="23" customFormat="1" x14ac:dyDescent="0.3">
      <c r="B38" s="21" t="s">
        <v>33</v>
      </c>
      <c r="C38" s="24"/>
      <c r="D38" s="24"/>
      <c r="E38" s="24"/>
      <c r="F38" s="21"/>
      <c r="G38" s="21"/>
      <c r="H38" s="21"/>
      <c r="I38" s="21"/>
      <c r="J38" s="21"/>
      <c r="K38" s="21"/>
      <c r="L38" s="21"/>
      <c r="M38" s="21"/>
      <c r="N38" s="21"/>
      <c r="O38" s="22">
        <f t="shared" si="3"/>
        <v>0</v>
      </c>
    </row>
    <row r="39" spans="2:15" x14ac:dyDescent="0.3">
      <c r="B39" s="21" t="s">
        <v>5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2">
        <f t="shared" si="3"/>
        <v>0</v>
      </c>
    </row>
    <row r="40" spans="2:15" x14ac:dyDescent="0.3">
      <c r="B40" s="33" t="s">
        <v>15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51">
        <f t="shared" si="3"/>
        <v>0</v>
      </c>
    </row>
    <row r="41" spans="2:15" x14ac:dyDescent="0.3">
      <c r="B41" s="21" t="s">
        <v>43</v>
      </c>
      <c r="C41" s="21"/>
      <c r="D41" s="21"/>
      <c r="E41" s="21"/>
      <c r="F41" s="21"/>
      <c r="G41" s="21"/>
      <c r="H41" s="21"/>
      <c r="I41" s="23"/>
      <c r="J41" s="23"/>
      <c r="K41" s="23"/>
      <c r="L41" s="23"/>
      <c r="M41" s="23"/>
      <c r="N41" s="23"/>
      <c r="O41" s="22">
        <f t="shared" si="3"/>
        <v>0</v>
      </c>
    </row>
    <row r="42" spans="2:15" x14ac:dyDescent="0.3">
      <c r="B42" s="33" t="s">
        <v>54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51">
        <f t="shared" si="3"/>
        <v>0</v>
      </c>
    </row>
    <row r="43" spans="2:15" x14ac:dyDescent="0.3">
      <c r="B43" s="21" t="s">
        <v>55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2">
        <f t="shared" si="3"/>
        <v>0</v>
      </c>
    </row>
    <row r="44" spans="2:15" x14ac:dyDescent="0.3">
      <c r="B44" s="21" t="s">
        <v>36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2">
        <f t="shared" si="3"/>
        <v>0</v>
      </c>
    </row>
    <row r="45" spans="2:15" x14ac:dyDescent="0.3">
      <c r="B45" s="21" t="s">
        <v>16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2">
        <f t="shared" si="3"/>
        <v>0</v>
      </c>
    </row>
    <row r="46" spans="2:15" ht="28.8" x14ac:dyDescent="0.3">
      <c r="B46" s="10" t="s">
        <v>58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2">
        <f t="shared" si="3"/>
        <v>0</v>
      </c>
    </row>
    <row r="47" spans="2:15" x14ac:dyDescent="0.3">
      <c r="B47" s="21" t="s">
        <v>32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2">
        <f t="shared" si="3"/>
        <v>0</v>
      </c>
    </row>
    <row r="48" spans="2:15" x14ac:dyDescent="0.3">
      <c r="B48" s="3" t="s">
        <v>35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2">
        <f t="shared" si="3"/>
        <v>0</v>
      </c>
    </row>
    <row r="49" spans="1:16" x14ac:dyDescent="0.3">
      <c r="B49" s="3" t="s">
        <v>10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2">
        <f t="shared" si="3"/>
        <v>0</v>
      </c>
    </row>
    <row r="50" spans="1:16" s="23" customFormat="1" x14ac:dyDescent="0.3">
      <c r="B50" s="3" t="s">
        <v>41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2">
        <f t="shared" si="3"/>
        <v>0</v>
      </c>
    </row>
    <row r="51" spans="1:16" s="23" customFormat="1" x14ac:dyDescent="0.3">
      <c r="B51" s="3" t="s">
        <v>22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2">
        <f t="shared" si="3"/>
        <v>0</v>
      </c>
    </row>
    <row r="52" spans="1:16" x14ac:dyDescent="0.3">
      <c r="B52" s="13" t="s">
        <v>0</v>
      </c>
      <c r="C52" s="42">
        <f t="shared" ref="C52:O52" si="4">SUM(C36:C51)</f>
        <v>0</v>
      </c>
      <c r="D52" s="42">
        <f t="shared" si="4"/>
        <v>0</v>
      </c>
      <c r="E52" s="42">
        <f t="shared" si="4"/>
        <v>0</v>
      </c>
      <c r="F52" s="42">
        <f t="shared" si="4"/>
        <v>0</v>
      </c>
      <c r="G52" s="42">
        <f t="shared" si="4"/>
        <v>0</v>
      </c>
      <c r="H52" s="42">
        <f t="shared" si="4"/>
        <v>0</v>
      </c>
      <c r="I52" s="42">
        <f t="shared" si="4"/>
        <v>0</v>
      </c>
      <c r="J52" s="42">
        <f t="shared" si="4"/>
        <v>0</v>
      </c>
      <c r="K52" s="42">
        <f t="shared" si="4"/>
        <v>0</v>
      </c>
      <c r="L52" s="42">
        <f t="shared" si="4"/>
        <v>0</v>
      </c>
      <c r="M52" s="42">
        <f t="shared" si="4"/>
        <v>0</v>
      </c>
      <c r="N52" s="42">
        <f t="shared" si="4"/>
        <v>0</v>
      </c>
      <c r="O52" s="42">
        <f t="shared" si="4"/>
        <v>0</v>
      </c>
    </row>
    <row r="53" spans="1:16" s="30" customFormat="1" ht="15" customHeight="1" x14ac:dyDescent="0.3">
      <c r="B53" s="29" t="s">
        <v>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2">
        <f>SUM(C53:N53)</f>
        <v>0</v>
      </c>
    </row>
    <row r="54" spans="1:16" s="19" customFormat="1" ht="15" customHeight="1" x14ac:dyDescent="0.3">
      <c r="B54" s="20" t="s">
        <v>10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5">
        <f>SUM(C54:N54)</f>
        <v>0</v>
      </c>
    </row>
    <row r="55" spans="1:16" s="19" customFormat="1" x14ac:dyDescent="0.3">
      <c r="B55" s="18" t="s">
        <v>11</v>
      </c>
      <c r="C55" s="13">
        <f t="shared" ref="C55:O55" si="5">C7-C34-C52+C53-C54</f>
        <v>0</v>
      </c>
      <c r="D55" s="13">
        <f t="shared" si="5"/>
        <v>0</v>
      </c>
      <c r="E55" s="13">
        <f t="shared" si="5"/>
        <v>0</v>
      </c>
      <c r="F55" s="13">
        <f t="shared" si="5"/>
        <v>0</v>
      </c>
      <c r="G55" s="13">
        <f t="shared" si="5"/>
        <v>0</v>
      </c>
      <c r="H55" s="13">
        <f t="shared" si="5"/>
        <v>0</v>
      </c>
      <c r="I55" s="13">
        <f t="shared" si="5"/>
        <v>0</v>
      </c>
      <c r="J55" s="13">
        <f t="shared" si="5"/>
        <v>0</v>
      </c>
      <c r="K55" s="13">
        <f t="shared" si="5"/>
        <v>0</v>
      </c>
      <c r="L55" s="13">
        <f t="shared" si="5"/>
        <v>0</v>
      </c>
      <c r="M55" s="13">
        <f t="shared" si="5"/>
        <v>0</v>
      </c>
      <c r="N55" s="13">
        <f t="shared" si="5"/>
        <v>0</v>
      </c>
      <c r="O55" s="13">
        <f t="shared" si="5"/>
        <v>0</v>
      </c>
    </row>
    <row r="56" spans="1:16" s="19" customFormat="1" x14ac:dyDescent="0.3">
      <c r="B56" s="20" t="s">
        <v>12</v>
      </c>
      <c r="C56" s="19">
        <f t="shared" ref="C56:N56" si="6">C55*0.2</f>
        <v>0</v>
      </c>
      <c r="D56" s="19">
        <f t="shared" si="6"/>
        <v>0</v>
      </c>
      <c r="E56" s="19">
        <f t="shared" si="6"/>
        <v>0</v>
      </c>
      <c r="F56" s="19">
        <f t="shared" si="6"/>
        <v>0</v>
      </c>
      <c r="G56" s="19">
        <f t="shared" si="6"/>
        <v>0</v>
      </c>
      <c r="H56" s="19">
        <f t="shared" si="6"/>
        <v>0</v>
      </c>
      <c r="I56" s="19">
        <f t="shared" si="6"/>
        <v>0</v>
      </c>
      <c r="J56" s="19">
        <f t="shared" si="6"/>
        <v>0</v>
      </c>
      <c r="K56" s="19">
        <f t="shared" si="6"/>
        <v>0</v>
      </c>
      <c r="L56" s="19">
        <f t="shared" si="6"/>
        <v>0</v>
      </c>
      <c r="M56" s="19">
        <f t="shared" si="6"/>
        <v>0</v>
      </c>
      <c r="N56" s="19">
        <f t="shared" si="6"/>
        <v>0</v>
      </c>
      <c r="O56" s="5">
        <f>SUM(C56:N56)</f>
        <v>0</v>
      </c>
    </row>
    <row r="57" spans="1:16" s="19" customFormat="1" x14ac:dyDescent="0.3">
      <c r="B57" s="18" t="s">
        <v>7</v>
      </c>
      <c r="C57" s="13">
        <f t="shared" ref="C57:O57" si="7">C55-C56</f>
        <v>0</v>
      </c>
      <c r="D57" s="13">
        <f t="shared" si="7"/>
        <v>0</v>
      </c>
      <c r="E57" s="13">
        <f t="shared" si="7"/>
        <v>0</v>
      </c>
      <c r="F57" s="13">
        <f t="shared" si="7"/>
        <v>0</v>
      </c>
      <c r="G57" s="13">
        <f t="shared" si="7"/>
        <v>0</v>
      </c>
      <c r="H57" s="13">
        <f t="shared" si="7"/>
        <v>0</v>
      </c>
      <c r="I57" s="13">
        <f t="shared" si="7"/>
        <v>0</v>
      </c>
      <c r="J57" s="13">
        <f t="shared" si="7"/>
        <v>0</v>
      </c>
      <c r="K57" s="13">
        <f t="shared" si="7"/>
        <v>0</v>
      </c>
      <c r="L57" s="13">
        <f t="shared" si="7"/>
        <v>0</v>
      </c>
      <c r="M57" s="13">
        <f t="shared" si="7"/>
        <v>0</v>
      </c>
      <c r="N57" s="13">
        <f t="shared" si="7"/>
        <v>0</v>
      </c>
      <c r="O57" s="13">
        <f t="shared" si="7"/>
        <v>0</v>
      </c>
    </row>
    <row r="58" spans="1:16" s="11" customForma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P58" s="1"/>
    </row>
    <row r="59" spans="1:16" x14ac:dyDescent="0.3">
      <c r="I59" s="26"/>
      <c r="J59" s="26"/>
      <c r="K59" s="26"/>
      <c r="L59" s="26"/>
      <c r="M59" s="26"/>
      <c r="N59" s="3" t="s">
        <v>31</v>
      </c>
      <c r="O59" s="27" t="e">
        <f>O55/O7</f>
        <v>#DIV/0!</v>
      </c>
    </row>
    <row r="60" spans="1:16" x14ac:dyDescent="0.3">
      <c r="I60" s="26"/>
      <c r="J60" s="26"/>
      <c r="K60" s="26"/>
      <c r="L60" s="26"/>
      <c r="M60" s="26"/>
      <c r="N60" s="3"/>
      <c r="O60" s="2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CB1F-A0E9-412D-BD73-913C5C1BE2EA}">
  <sheetPr>
    <tabColor theme="9" tint="0.59999389629810485"/>
  </sheetPr>
  <dimension ref="A1:P38"/>
  <sheetViews>
    <sheetView zoomScale="90" zoomScaleNormal="90" workbookViewId="0">
      <pane ySplit="1" topLeftCell="A2" activePane="bottomLeft" state="frozen"/>
      <selection pane="bottomLeft" activeCell="B2" sqref="B2"/>
    </sheetView>
  </sheetViews>
  <sheetFormatPr defaultColWidth="9.109375" defaultRowHeight="14.4" x14ac:dyDescent="0.3"/>
  <cols>
    <col min="1" max="1" width="1.5546875" style="1" customWidth="1"/>
    <col min="2" max="2" width="40.21875" style="1" customWidth="1"/>
    <col min="3" max="9" width="18.33203125" style="1" bestFit="1" customWidth="1"/>
    <col min="10" max="13" width="18.6640625" style="1" bestFit="1" customWidth="1"/>
    <col min="14" max="14" width="23.77734375" style="1" bestFit="1" customWidth="1"/>
    <col min="15" max="15" width="19.44140625" style="11" bestFit="1" customWidth="1"/>
    <col min="16" max="16" width="19.44140625" style="46" bestFit="1" customWidth="1"/>
    <col min="17" max="17" width="17.77734375" style="1" bestFit="1" customWidth="1"/>
    <col min="18" max="16384" width="9.109375" style="1"/>
  </cols>
  <sheetData>
    <row r="1" spans="2:16" ht="15" thickBot="1" x14ac:dyDescent="0.35">
      <c r="B1" s="5" t="s">
        <v>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23</v>
      </c>
      <c r="I1" s="43" t="s">
        <v>25</v>
      </c>
      <c r="J1" s="43" t="s">
        <v>26</v>
      </c>
      <c r="K1" s="44" t="s">
        <v>27</v>
      </c>
      <c r="L1" s="43" t="s">
        <v>28</v>
      </c>
      <c r="M1" s="44" t="s">
        <v>29</v>
      </c>
      <c r="N1" s="44" t="s">
        <v>30</v>
      </c>
      <c r="O1" s="11" t="s">
        <v>2</v>
      </c>
    </row>
    <row r="2" spans="2:16" x14ac:dyDescent="0.3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6" s="23" customFormat="1" x14ac:dyDescent="0.3">
      <c r="B3" s="32" t="s">
        <v>6</v>
      </c>
      <c r="C3" s="33"/>
      <c r="D3" s="33"/>
      <c r="E3" s="33"/>
      <c r="F3" s="33"/>
      <c r="G3" s="33"/>
      <c r="H3" s="33"/>
      <c r="I3" s="34"/>
      <c r="J3" s="34"/>
      <c r="K3" s="34"/>
      <c r="L3" s="34"/>
      <c r="M3" s="34"/>
      <c r="N3" s="34"/>
      <c r="O3" s="31">
        <f>SUM(C3:N3)</f>
        <v>0</v>
      </c>
      <c r="P3" s="47"/>
    </row>
    <row r="4" spans="2:16" x14ac:dyDescent="0.3">
      <c r="B4" s="9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12">
        <f>SUM(I4:N4)</f>
        <v>0</v>
      </c>
    </row>
    <row r="5" spans="2:16" ht="15" thickBot="1" x14ac:dyDescent="0.35">
      <c r="B5" s="14" t="s">
        <v>3</v>
      </c>
      <c r="C5" s="15">
        <f t="shared" ref="C5:N5" si="0">C3</f>
        <v>0</v>
      </c>
      <c r="D5" s="15">
        <f t="shared" si="0"/>
        <v>0</v>
      </c>
      <c r="E5" s="15">
        <f t="shared" si="0"/>
        <v>0</v>
      </c>
      <c r="F5" s="15">
        <f t="shared" si="0"/>
        <v>0</v>
      </c>
      <c r="G5" s="15">
        <f t="shared" si="0"/>
        <v>0</v>
      </c>
      <c r="H5" s="15">
        <f t="shared" si="0"/>
        <v>0</v>
      </c>
      <c r="I5" s="15">
        <f t="shared" si="0"/>
        <v>0</v>
      </c>
      <c r="J5" s="15">
        <f t="shared" si="0"/>
        <v>0</v>
      </c>
      <c r="K5" s="15">
        <f t="shared" si="0"/>
        <v>0</v>
      </c>
      <c r="L5" s="15">
        <f t="shared" si="0"/>
        <v>0</v>
      </c>
      <c r="M5" s="15">
        <f t="shared" si="0"/>
        <v>0</v>
      </c>
      <c r="N5" s="15">
        <f t="shared" si="0"/>
        <v>0</v>
      </c>
      <c r="O5" s="16">
        <f>SUM(O2:O4)</f>
        <v>0</v>
      </c>
    </row>
    <row r="6" spans="2:16" x14ac:dyDescent="0.3">
      <c r="B6" s="2" t="s">
        <v>51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2:16" s="23" customFormat="1" x14ac:dyDescent="0.3">
      <c r="B7" s="21" t="s">
        <v>39</v>
      </c>
      <c r="C7" s="21"/>
      <c r="D7" s="21"/>
      <c r="E7" s="21"/>
      <c r="F7" s="21"/>
      <c r="G7" s="21"/>
      <c r="H7" s="21"/>
      <c r="I7" s="24"/>
      <c r="J7" s="24"/>
      <c r="K7" s="24"/>
      <c r="L7" s="24"/>
      <c r="M7" s="24"/>
      <c r="N7" s="24"/>
      <c r="O7" s="22">
        <f t="shared" ref="O7:O15" si="1">SUM(C7:N7)</f>
        <v>0</v>
      </c>
      <c r="P7" s="47"/>
    </row>
    <row r="8" spans="2:16" s="23" customFormat="1" x14ac:dyDescent="0.3">
      <c r="B8" s="37" t="s">
        <v>52</v>
      </c>
      <c r="C8" s="37"/>
      <c r="D8" s="37"/>
      <c r="E8" s="37"/>
      <c r="F8" s="37"/>
      <c r="G8" s="37"/>
      <c r="H8" s="37"/>
      <c r="I8" s="35"/>
      <c r="J8" s="35"/>
      <c r="K8" s="35"/>
      <c r="L8" s="35"/>
      <c r="M8" s="35"/>
      <c r="N8" s="35"/>
      <c r="O8" s="40">
        <f>SUM(C8:N8)</f>
        <v>0</v>
      </c>
      <c r="P8" s="47"/>
    </row>
    <row r="9" spans="2:16" x14ac:dyDescent="0.3">
      <c r="B9" s="35" t="s">
        <v>24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40">
        <f t="shared" si="1"/>
        <v>0</v>
      </c>
    </row>
    <row r="10" spans="2:16" s="23" customFormat="1" x14ac:dyDescent="0.3">
      <c r="B10" s="21" t="s">
        <v>38</v>
      </c>
      <c r="C10" s="21"/>
      <c r="D10" s="21"/>
      <c r="E10" s="21"/>
      <c r="F10" s="21"/>
      <c r="G10" s="21"/>
      <c r="H10" s="21"/>
      <c r="I10" s="24"/>
      <c r="J10" s="24"/>
      <c r="K10" s="24"/>
      <c r="L10" s="24"/>
      <c r="M10" s="24"/>
      <c r="N10" s="24"/>
      <c r="O10" s="22">
        <f t="shared" si="1"/>
        <v>0</v>
      </c>
      <c r="P10" s="47"/>
    </row>
    <row r="11" spans="2:16" s="23" customFormat="1" x14ac:dyDescent="0.3">
      <c r="B11" s="21" t="s">
        <v>33</v>
      </c>
      <c r="C11" s="21"/>
      <c r="D11" s="21"/>
      <c r="E11" s="21"/>
      <c r="F11" s="21"/>
      <c r="G11" s="21"/>
      <c r="H11" s="21"/>
      <c r="I11" s="24"/>
      <c r="J11" s="24"/>
      <c r="K11" s="24"/>
      <c r="L11" s="24"/>
      <c r="M11" s="24"/>
      <c r="N11" s="24"/>
      <c r="O11" s="22">
        <f t="shared" si="1"/>
        <v>0</v>
      </c>
      <c r="P11" s="47"/>
    </row>
    <row r="12" spans="2:16" s="23" customFormat="1" x14ac:dyDescent="0.3">
      <c r="B12" s="21" t="s">
        <v>67</v>
      </c>
      <c r="C12" s="24"/>
      <c r="D12" s="24"/>
      <c r="E12" s="21"/>
      <c r="F12" s="24"/>
      <c r="G12" s="24"/>
      <c r="H12" s="24"/>
      <c r="I12" s="24"/>
      <c r="J12" s="24"/>
      <c r="K12" s="24"/>
      <c r="L12" s="24"/>
      <c r="M12" s="24"/>
      <c r="N12" s="24"/>
      <c r="O12" s="22">
        <f t="shared" si="1"/>
        <v>0</v>
      </c>
      <c r="P12" s="47"/>
    </row>
    <row r="13" spans="2:16" s="23" customFormat="1" x14ac:dyDescent="0.3">
      <c r="B13" s="21" t="s">
        <v>75</v>
      </c>
      <c r="C13" s="21"/>
      <c r="D13" s="21"/>
      <c r="E13" s="21"/>
      <c r="F13" s="21"/>
      <c r="G13" s="21"/>
      <c r="H13" s="21"/>
      <c r="I13" s="24"/>
      <c r="J13" s="24"/>
      <c r="K13" s="24"/>
      <c r="L13" s="24"/>
      <c r="M13" s="24"/>
      <c r="N13" s="24"/>
      <c r="O13" s="22">
        <f t="shared" si="1"/>
        <v>0</v>
      </c>
      <c r="P13" s="47"/>
    </row>
    <row r="14" spans="2:16" s="23" customFormat="1" x14ac:dyDescent="0.3">
      <c r="B14" s="21" t="s">
        <v>44</v>
      </c>
      <c r="C14" s="21"/>
      <c r="D14" s="21"/>
      <c r="E14" s="21"/>
      <c r="F14" s="21"/>
      <c r="G14" s="21"/>
      <c r="H14" s="21"/>
      <c r="I14" s="24"/>
      <c r="J14" s="24"/>
      <c r="K14" s="24"/>
      <c r="L14" s="24"/>
      <c r="M14" s="24"/>
      <c r="N14" s="24"/>
      <c r="O14" s="22">
        <f t="shared" si="1"/>
        <v>0</v>
      </c>
      <c r="P14" s="47"/>
    </row>
    <row r="15" spans="2:16" s="23" customFormat="1" x14ac:dyDescent="0.3">
      <c r="B15" s="21" t="s">
        <v>8</v>
      </c>
      <c r="C15" s="21"/>
      <c r="D15" s="21"/>
      <c r="E15" s="21"/>
      <c r="F15" s="21"/>
      <c r="G15" s="21"/>
      <c r="H15" s="21"/>
      <c r="I15" s="24"/>
      <c r="J15" s="24"/>
      <c r="K15" s="24"/>
      <c r="L15" s="24"/>
      <c r="M15" s="24"/>
      <c r="N15" s="24"/>
      <c r="O15" s="22">
        <f t="shared" si="1"/>
        <v>0</v>
      </c>
      <c r="P15" s="47"/>
    </row>
    <row r="16" spans="2:16" s="23" customFormat="1" x14ac:dyDescent="0.3">
      <c r="B16" s="21" t="s">
        <v>74</v>
      </c>
      <c r="C16" s="21"/>
      <c r="D16" s="21"/>
      <c r="E16" s="21"/>
      <c r="F16" s="24"/>
      <c r="G16" s="24"/>
      <c r="H16" s="21"/>
      <c r="I16" s="24"/>
      <c r="J16" s="24"/>
      <c r="K16" s="24"/>
      <c r="L16" s="24"/>
      <c r="M16" s="24"/>
      <c r="N16" s="24"/>
      <c r="O16" s="22">
        <f t="shared" ref="O16:O29" si="2">SUM(C16:N16)</f>
        <v>0</v>
      </c>
      <c r="P16" s="47"/>
    </row>
    <row r="17" spans="2:16" s="23" customFormat="1" x14ac:dyDescent="0.3">
      <c r="B17" s="21" t="s">
        <v>69</v>
      </c>
      <c r="C17" s="21"/>
      <c r="D17" s="21"/>
      <c r="E17" s="21"/>
      <c r="F17" s="21"/>
      <c r="G17" s="21"/>
      <c r="H17" s="21"/>
      <c r="I17" s="24"/>
      <c r="J17" s="24"/>
      <c r="K17" s="24"/>
      <c r="L17" s="24"/>
      <c r="M17" s="24"/>
      <c r="N17" s="24"/>
      <c r="O17" s="22">
        <f>SUM(C17:N17)</f>
        <v>0</v>
      </c>
      <c r="P17" s="47"/>
    </row>
    <row r="18" spans="2:16" s="23" customFormat="1" x14ac:dyDescent="0.3">
      <c r="B18" s="21" t="s">
        <v>48</v>
      </c>
      <c r="C18" s="21"/>
      <c r="D18" s="21"/>
      <c r="E18" s="21"/>
      <c r="F18" s="21"/>
      <c r="G18" s="21"/>
      <c r="H18" s="21"/>
      <c r="I18" s="24"/>
      <c r="J18" s="24"/>
      <c r="K18" s="24"/>
      <c r="L18" s="24"/>
      <c r="M18" s="24"/>
      <c r="N18" s="24"/>
      <c r="O18" s="22">
        <f t="shared" si="2"/>
        <v>0</v>
      </c>
      <c r="P18" s="47"/>
    </row>
    <row r="19" spans="2:16" s="23" customFormat="1" x14ac:dyDescent="0.3">
      <c r="B19" s="21" t="s">
        <v>45</v>
      </c>
      <c r="C19" s="21"/>
      <c r="D19" s="21"/>
      <c r="E19" s="21"/>
      <c r="F19" s="21"/>
      <c r="G19" s="21"/>
      <c r="H19" s="21"/>
      <c r="I19" s="24"/>
      <c r="J19" s="24"/>
      <c r="K19" s="24"/>
      <c r="L19" s="24"/>
      <c r="M19" s="24"/>
      <c r="N19" s="24"/>
      <c r="O19" s="22">
        <f>SUM(C19:N19)</f>
        <v>0</v>
      </c>
      <c r="P19" s="47"/>
    </row>
    <row r="20" spans="2:16" s="23" customFormat="1" x14ac:dyDescent="0.3">
      <c r="B20" s="21" t="s">
        <v>46</v>
      </c>
      <c r="C20" s="21"/>
      <c r="D20" s="21"/>
      <c r="E20" s="21"/>
      <c r="F20" s="21"/>
      <c r="G20" s="21"/>
      <c r="H20" s="21"/>
      <c r="I20" s="24"/>
      <c r="J20" s="24"/>
      <c r="K20" s="24"/>
      <c r="L20" s="24"/>
      <c r="M20" s="24"/>
      <c r="N20" s="24"/>
      <c r="O20" s="22">
        <f>SUM(C20:N20)</f>
        <v>0</v>
      </c>
      <c r="P20" s="47"/>
    </row>
    <row r="21" spans="2:16" s="23" customFormat="1" x14ac:dyDescent="0.3">
      <c r="B21" s="21" t="s">
        <v>47</v>
      </c>
      <c r="C21" s="21"/>
      <c r="D21" s="21"/>
      <c r="E21" s="21"/>
      <c r="F21" s="21"/>
      <c r="G21" s="21"/>
      <c r="H21" s="21"/>
      <c r="I21" s="24"/>
      <c r="J21" s="24"/>
      <c r="K21" s="24"/>
      <c r="L21" s="24"/>
      <c r="M21" s="24"/>
      <c r="N21" s="24"/>
      <c r="O21" s="22">
        <f>SUM(C21:N21)</f>
        <v>0</v>
      </c>
      <c r="P21" s="47"/>
    </row>
    <row r="22" spans="2:16" x14ac:dyDescent="0.3">
      <c r="B22" s="24" t="s">
        <v>57</v>
      </c>
      <c r="C22" s="24"/>
      <c r="D22" s="24"/>
      <c r="E22" s="24"/>
      <c r="F22" s="24"/>
      <c r="G22" s="17"/>
      <c r="H22" s="24"/>
      <c r="I22" s="24"/>
      <c r="J22" s="17"/>
      <c r="K22" s="17"/>
      <c r="L22" s="17"/>
      <c r="M22" s="24"/>
      <c r="N22" s="24"/>
      <c r="O22" s="22">
        <f t="shared" ref="O22:O26" si="3">SUM(C22:N22)</f>
        <v>0</v>
      </c>
      <c r="P22" s="1"/>
    </row>
    <row r="23" spans="2:16" s="23" customFormat="1" x14ac:dyDescent="0.3">
      <c r="B23" s="21" t="s">
        <v>71</v>
      </c>
      <c r="C23" s="21"/>
      <c r="D23" s="21"/>
      <c r="E23" s="21"/>
      <c r="F23" s="21"/>
      <c r="G23" s="21"/>
      <c r="H23" s="21"/>
      <c r="I23" s="24"/>
      <c r="J23" s="24"/>
      <c r="K23" s="24"/>
      <c r="L23" s="24"/>
      <c r="M23" s="24"/>
      <c r="N23" s="24"/>
      <c r="O23" s="22">
        <f t="shared" si="3"/>
        <v>0</v>
      </c>
      <c r="P23" s="47"/>
    </row>
    <row r="24" spans="2:16" s="23" customFormat="1" x14ac:dyDescent="0.3">
      <c r="B24" s="21" t="s">
        <v>59</v>
      </c>
      <c r="C24" s="21"/>
      <c r="D24" s="21"/>
      <c r="E24" s="21"/>
      <c r="F24" s="21"/>
      <c r="G24" s="21"/>
      <c r="H24" s="21"/>
      <c r="I24" s="24"/>
      <c r="J24" s="24"/>
      <c r="K24" s="24"/>
      <c r="L24" s="24"/>
      <c r="M24" s="24"/>
      <c r="N24" s="24"/>
      <c r="O24" s="22">
        <f t="shared" si="3"/>
        <v>0</v>
      </c>
      <c r="P24" s="47"/>
    </row>
    <row r="25" spans="2:16" s="23" customFormat="1" x14ac:dyDescent="0.3">
      <c r="B25" s="21" t="s">
        <v>72</v>
      </c>
      <c r="C25" s="21"/>
      <c r="D25" s="21"/>
      <c r="E25" s="21"/>
      <c r="F25" s="21"/>
      <c r="G25" s="21"/>
      <c r="H25" s="21"/>
      <c r="I25" s="24"/>
      <c r="J25" s="24"/>
      <c r="K25" s="24"/>
      <c r="L25" s="24"/>
      <c r="M25" s="24"/>
      <c r="N25" s="24"/>
      <c r="O25" s="22">
        <f t="shared" si="3"/>
        <v>0</v>
      </c>
      <c r="P25" s="47"/>
    </row>
    <row r="26" spans="2:16" s="23" customFormat="1" x14ac:dyDescent="0.3">
      <c r="B26" s="36" t="s">
        <v>73</v>
      </c>
      <c r="C26" s="21"/>
      <c r="D26" s="21"/>
      <c r="E26" s="21"/>
      <c r="F26" s="21"/>
      <c r="G26" s="21"/>
      <c r="H26" s="21"/>
      <c r="I26" s="24"/>
      <c r="J26" s="24"/>
      <c r="K26" s="24"/>
      <c r="L26" s="24"/>
      <c r="M26" s="24"/>
      <c r="N26" s="24"/>
      <c r="O26" s="22">
        <f t="shared" si="3"/>
        <v>0</v>
      </c>
      <c r="P26" s="47"/>
    </row>
    <row r="27" spans="2:16" s="23" customFormat="1" x14ac:dyDescent="0.3">
      <c r="B27" s="21" t="s">
        <v>50</v>
      </c>
      <c r="C27" s="21"/>
      <c r="D27" s="21"/>
      <c r="E27" s="21"/>
      <c r="F27" s="21"/>
      <c r="G27" s="21"/>
      <c r="H27" s="21"/>
      <c r="I27" s="24"/>
      <c r="J27" s="24"/>
      <c r="K27" s="24"/>
      <c r="L27" s="24"/>
      <c r="M27" s="24"/>
      <c r="N27" s="24"/>
      <c r="O27" s="22">
        <f t="shared" si="2"/>
        <v>0</v>
      </c>
      <c r="P27" s="47"/>
    </row>
    <row r="28" spans="2:16" s="23" customFormat="1" x14ac:dyDescent="0.3">
      <c r="B28" s="21" t="s">
        <v>42</v>
      </c>
      <c r="C28" s="21"/>
      <c r="D28" s="21"/>
      <c r="E28" s="21"/>
      <c r="F28" s="21"/>
      <c r="G28" s="21"/>
      <c r="H28" s="21"/>
      <c r="I28" s="24"/>
      <c r="J28" s="24"/>
      <c r="K28" s="24"/>
      <c r="L28" s="24"/>
      <c r="M28" s="24"/>
      <c r="N28" s="24"/>
      <c r="O28" s="22">
        <f>SUM(C28:N28)</f>
        <v>0</v>
      </c>
      <c r="P28" s="47"/>
    </row>
    <row r="29" spans="2:16" s="23" customFormat="1" x14ac:dyDescent="0.3">
      <c r="B29" s="37" t="s">
        <v>53</v>
      </c>
      <c r="C29" s="37"/>
      <c r="D29" s="37"/>
      <c r="E29" s="37"/>
      <c r="F29" s="37"/>
      <c r="G29" s="37"/>
      <c r="H29" s="37"/>
      <c r="I29" s="35"/>
      <c r="J29" s="35"/>
      <c r="K29" s="35"/>
      <c r="L29" s="35"/>
      <c r="M29" s="35"/>
      <c r="N29" s="35"/>
      <c r="O29" s="40">
        <f t="shared" si="2"/>
        <v>0</v>
      </c>
      <c r="P29" s="47"/>
    </row>
    <row r="30" spans="2:16" x14ac:dyDescent="0.3">
      <c r="B30" s="13" t="s">
        <v>0</v>
      </c>
      <c r="C30" s="13">
        <f t="shared" ref="C30:N30" si="4">SUM(C7:C29)</f>
        <v>0</v>
      </c>
      <c r="D30" s="13">
        <f t="shared" si="4"/>
        <v>0</v>
      </c>
      <c r="E30" s="13">
        <f t="shared" si="4"/>
        <v>0</v>
      </c>
      <c r="F30" s="13">
        <f t="shared" si="4"/>
        <v>0</v>
      </c>
      <c r="G30" s="13">
        <f t="shared" si="4"/>
        <v>0</v>
      </c>
      <c r="H30" s="13">
        <f t="shared" si="4"/>
        <v>0</v>
      </c>
      <c r="I30" s="13">
        <f t="shared" si="4"/>
        <v>0</v>
      </c>
      <c r="J30" s="13">
        <f t="shared" si="4"/>
        <v>0</v>
      </c>
      <c r="K30" s="13">
        <f t="shared" si="4"/>
        <v>0</v>
      </c>
      <c r="L30" s="13">
        <f t="shared" si="4"/>
        <v>0</v>
      </c>
      <c r="M30" s="13">
        <f t="shared" si="4"/>
        <v>0</v>
      </c>
      <c r="N30" s="13">
        <f t="shared" si="4"/>
        <v>0</v>
      </c>
      <c r="O30" s="13">
        <f>SUM(O16:O29)</f>
        <v>0</v>
      </c>
    </row>
    <row r="31" spans="2:16" s="30" customFormat="1" ht="15" customHeight="1" x14ac:dyDescent="0.3">
      <c r="B31" s="29" t="s">
        <v>9</v>
      </c>
      <c r="C31" s="29"/>
      <c r="D31" s="29"/>
      <c r="E31" s="29"/>
      <c r="F31" s="29"/>
      <c r="G31" s="29"/>
      <c r="H31" s="29"/>
      <c r="I31" s="24"/>
      <c r="J31" s="24"/>
      <c r="K31" s="24"/>
      <c r="L31" s="24"/>
      <c r="M31" s="24"/>
      <c r="N31" s="24"/>
      <c r="O31" s="22">
        <f>SUM(C31:N31)</f>
        <v>0</v>
      </c>
      <c r="P31" s="48"/>
    </row>
    <row r="32" spans="2:16" s="19" customFormat="1" ht="15" customHeight="1" x14ac:dyDescent="0.3">
      <c r="B32" s="20" t="s">
        <v>10</v>
      </c>
      <c r="C32" s="29"/>
      <c r="D32" s="29"/>
      <c r="E32" s="29"/>
      <c r="F32" s="29"/>
      <c r="G32" s="20"/>
      <c r="H32" s="29"/>
      <c r="I32" s="17"/>
      <c r="J32" s="24"/>
      <c r="K32" s="17"/>
      <c r="L32" s="17"/>
      <c r="M32" s="17"/>
      <c r="N32" s="17"/>
      <c r="O32" s="5">
        <f>SUM(C32:N32)</f>
        <v>0</v>
      </c>
      <c r="P32" s="49"/>
    </row>
    <row r="33" spans="1:16" s="19" customFormat="1" x14ac:dyDescent="0.3">
      <c r="B33" s="18" t="s">
        <v>11</v>
      </c>
      <c r="C33" s="13">
        <f t="shared" ref="C33:O33" si="5">C5-C30+C31-C32</f>
        <v>0</v>
      </c>
      <c r="D33" s="13">
        <f t="shared" si="5"/>
        <v>0</v>
      </c>
      <c r="E33" s="13">
        <f t="shared" si="5"/>
        <v>0</v>
      </c>
      <c r="F33" s="13">
        <f t="shared" si="5"/>
        <v>0</v>
      </c>
      <c r="G33" s="13">
        <f t="shared" si="5"/>
        <v>0</v>
      </c>
      <c r="H33" s="13">
        <f t="shared" si="5"/>
        <v>0</v>
      </c>
      <c r="I33" s="13">
        <f t="shared" si="5"/>
        <v>0</v>
      </c>
      <c r="J33" s="13">
        <f t="shared" si="5"/>
        <v>0</v>
      </c>
      <c r="K33" s="13">
        <f t="shared" si="5"/>
        <v>0</v>
      </c>
      <c r="L33" s="13">
        <f t="shared" si="5"/>
        <v>0</v>
      </c>
      <c r="M33" s="13">
        <f t="shared" si="5"/>
        <v>0</v>
      </c>
      <c r="N33" s="13">
        <f t="shared" si="5"/>
        <v>0</v>
      </c>
      <c r="O33" s="13">
        <f t="shared" si="5"/>
        <v>0</v>
      </c>
      <c r="P33" s="49"/>
    </row>
    <row r="34" spans="1:16" s="19" customFormat="1" x14ac:dyDescent="0.3">
      <c r="B34" s="20" t="s">
        <v>12</v>
      </c>
      <c r="C34" s="19">
        <f>C33*0.2</f>
        <v>0</v>
      </c>
      <c r="D34" s="19">
        <f t="shared" ref="D34:N34" si="6">D33*0.2</f>
        <v>0</v>
      </c>
      <c r="E34" s="19">
        <f t="shared" si="6"/>
        <v>0</v>
      </c>
      <c r="F34" s="19">
        <f t="shared" si="6"/>
        <v>0</v>
      </c>
      <c r="G34" s="19">
        <f t="shared" si="6"/>
        <v>0</v>
      </c>
      <c r="H34" s="19">
        <f t="shared" si="6"/>
        <v>0</v>
      </c>
      <c r="I34" s="19">
        <f t="shared" si="6"/>
        <v>0</v>
      </c>
      <c r="J34" s="19">
        <f t="shared" si="6"/>
        <v>0</v>
      </c>
      <c r="K34" s="19">
        <f t="shared" si="6"/>
        <v>0</v>
      </c>
      <c r="L34" s="19">
        <f t="shared" si="6"/>
        <v>0</v>
      </c>
      <c r="M34" s="19">
        <f t="shared" si="6"/>
        <v>0</v>
      </c>
      <c r="N34" s="19">
        <f t="shared" si="6"/>
        <v>0</v>
      </c>
      <c r="O34" s="5">
        <f>SUM(C34:N34)</f>
        <v>0</v>
      </c>
      <c r="P34" s="49"/>
    </row>
    <row r="35" spans="1:16" s="19" customFormat="1" x14ac:dyDescent="0.3">
      <c r="B35" s="18" t="s">
        <v>7</v>
      </c>
      <c r="C35" s="13">
        <f t="shared" ref="C35:N35" si="7">C33-C34</f>
        <v>0</v>
      </c>
      <c r="D35" s="13">
        <f t="shared" si="7"/>
        <v>0</v>
      </c>
      <c r="E35" s="13">
        <f t="shared" si="7"/>
        <v>0</v>
      </c>
      <c r="F35" s="13">
        <f t="shared" si="7"/>
        <v>0</v>
      </c>
      <c r="G35" s="13">
        <f t="shared" si="7"/>
        <v>0</v>
      </c>
      <c r="H35" s="13">
        <f t="shared" si="7"/>
        <v>0</v>
      </c>
      <c r="I35" s="13">
        <f>I33-I34</f>
        <v>0</v>
      </c>
      <c r="J35" s="13">
        <f t="shared" si="7"/>
        <v>0</v>
      </c>
      <c r="K35" s="13">
        <f t="shared" si="7"/>
        <v>0</v>
      </c>
      <c r="L35" s="13">
        <f t="shared" si="7"/>
        <v>0</v>
      </c>
      <c r="M35" s="13">
        <f t="shared" si="7"/>
        <v>0</v>
      </c>
      <c r="N35" s="13">
        <f t="shared" si="7"/>
        <v>0</v>
      </c>
      <c r="O35" s="13">
        <f>O33-O34</f>
        <v>0</v>
      </c>
      <c r="P35" s="49"/>
    </row>
    <row r="36" spans="1:16" s="11" customForma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P36" s="46"/>
    </row>
    <row r="37" spans="1:16" x14ac:dyDescent="0.3">
      <c r="I37" s="26"/>
      <c r="J37" s="26"/>
      <c r="K37" s="26"/>
      <c r="L37" s="26"/>
      <c r="M37" s="26"/>
      <c r="N37" s="3" t="s">
        <v>31</v>
      </c>
      <c r="O37" s="27" t="e">
        <f>O33/O5</f>
        <v>#DIV/0!</v>
      </c>
    </row>
    <row r="38" spans="1:16" x14ac:dyDescent="0.3">
      <c r="I38" s="26"/>
      <c r="J38" s="26"/>
      <c r="K38" s="26"/>
      <c r="L38" s="26"/>
      <c r="M38" s="26"/>
      <c r="N38" s="3"/>
      <c r="O38" s="2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5EF5-7C49-4462-8BE8-8782554EE9BE}">
  <sheetPr>
    <tabColor theme="9" tint="0.59999389629810485"/>
  </sheetPr>
  <dimension ref="A1:P38"/>
  <sheetViews>
    <sheetView zoomScale="90" zoomScaleNormal="90" workbookViewId="0">
      <selection activeCell="B2" sqref="B2"/>
    </sheetView>
  </sheetViews>
  <sheetFormatPr defaultColWidth="9.109375" defaultRowHeight="14.4" x14ac:dyDescent="0.3"/>
  <cols>
    <col min="1" max="1" width="1.5546875" style="1" customWidth="1"/>
    <col min="2" max="2" width="40.21875" style="1" customWidth="1"/>
    <col min="3" max="9" width="18.33203125" style="1" bestFit="1" customWidth="1"/>
    <col min="10" max="13" width="18.6640625" style="1" bestFit="1" customWidth="1"/>
    <col min="14" max="14" width="23.77734375" style="1" bestFit="1" customWidth="1"/>
    <col min="15" max="15" width="19.44140625" style="11" bestFit="1" customWidth="1"/>
    <col min="16" max="16" width="19.44140625" style="46" bestFit="1" customWidth="1"/>
    <col min="17" max="17" width="17.77734375" style="1" bestFit="1" customWidth="1"/>
    <col min="18" max="16384" width="9.109375" style="1"/>
  </cols>
  <sheetData>
    <row r="1" spans="2:16" ht="15" thickBot="1" x14ac:dyDescent="0.35">
      <c r="B1" s="5" t="s">
        <v>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23</v>
      </c>
      <c r="I1" s="43" t="s">
        <v>25</v>
      </c>
      <c r="J1" s="43" t="s">
        <v>26</v>
      </c>
      <c r="K1" s="44" t="s">
        <v>27</v>
      </c>
      <c r="L1" s="43" t="s">
        <v>28</v>
      </c>
      <c r="M1" s="44" t="s">
        <v>29</v>
      </c>
      <c r="N1" s="44" t="s">
        <v>30</v>
      </c>
      <c r="O1" s="11" t="s">
        <v>2</v>
      </c>
    </row>
    <row r="2" spans="2:16" x14ac:dyDescent="0.3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6" s="23" customFormat="1" x14ac:dyDescent="0.3">
      <c r="B3" s="32" t="s">
        <v>6</v>
      </c>
      <c r="C3" s="33"/>
      <c r="D3" s="33"/>
      <c r="E3" s="33"/>
      <c r="F3" s="33"/>
      <c r="G3" s="33"/>
      <c r="H3" s="33"/>
      <c r="I3" s="34"/>
      <c r="J3" s="34"/>
      <c r="K3" s="34"/>
      <c r="L3" s="34"/>
      <c r="M3" s="34"/>
      <c r="N3" s="34"/>
      <c r="O3" s="31">
        <f>SUM(C3:N3)</f>
        <v>0</v>
      </c>
      <c r="P3" s="47"/>
    </row>
    <row r="4" spans="2:16" x14ac:dyDescent="0.3">
      <c r="B4" s="9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12">
        <f>SUM(I4:N4)</f>
        <v>0</v>
      </c>
    </row>
    <row r="5" spans="2:16" ht="15" thickBot="1" x14ac:dyDescent="0.35">
      <c r="B5" s="14" t="s">
        <v>3</v>
      </c>
      <c r="C5" s="15">
        <f t="shared" ref="C5:N5" si="0">C3</f>
        <v>0</v>
      </c>
      <c r="D5" s="15">
        <f t="shared" si="0"/>
        <v>0</v>
      </c>
      <c r="E5" s="15">
        <f t="shared" si="0"/>
        <v>0</v>
      </c>
      <c r="F5" s="15">
        <f t="shared" si="0"/>
        <v>0</v>
      </c>
      <c r="G5" s="15">
        <f t="shared" si="0"/>
        <v>0</v>
      </c>
      <c r="H5" s="15">
        <f t="shared" si="0"/>
        <v>0</v>
      </c>
      <c r="I5" s="15">
        <f t="shared" si="0"/>
        <v>0</v>
      </c>
      <c r="J5" s="15">
        <f t="shared" si="0"/>
        <v>0</v>
      </c>
      <c r="K5" s="15">
        <f t="shared" si="0"/>
        <v>0</v>
      </c>
      <c r="L5" s="15">
        <f t="shared" si="0"/>
        <v>0</v>
      </c>
      <c r="M5" s="15">
        <f t="shared" si="0"/>
        <v>0</v>
      </c>
      <c r="N5" s="15">
        <f t="shared" si="0"/>
        <v>0</v>
      </c>
      <c r="O5" s="16">
        <f>SUM(O2:O4)</f>
        <v>0</v>
      </c>
    </row>
    <row r="6" spans="2:16" x14ac:dyDescent="0.3">
      <c r="B6" s="2" t="s">
        <v>51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2:16" s="23" customFormat="1" x14ac:dyDescent="0.3">
      <c r="B7" s="21" t="s">
        <v>39</v>
      </c>
      <c r="C7" s="21"/>
      <c r="D7" s="21"/>
      <c r="E7" s="21"/>
      <c r="F7" s="21"/>
      <c r="G7" s="21"/>
      <c r="H7" s="21"/>
      <c r="I7" s="24"/>
      <c r="J7" s="24"/>
      <c r="K7" s="24"/>
      <c r="L7" s="24"/>
      <c r="M7" s="24"/>
      <c r="N7" s="24"/>
      <c r="O7" s="22">
        <f t="shared" ref="O7:O15" si="1">SUM(C7:N7)</f>
        <v>0</v>
      </c>
      <c r="P7" s="47"/>
    </row>
    <row r="8" spans="2:16" s="23" customFormat="1" x14ac:dyDescent="0.3">
      <c r="B8" s="37" t="s">
        <v>52</v>
      </c>
      <c r="C8" s="37"/>
      <c r="D8" s="37"/>
      <c r="E8" s="37"/>
      <c r="F8" s="37"/>
      <c r="G8" s="37"/>
      <c r="H8" s="37"/>
      <c r="I8" s="35"/>
      <c r="J8" s="35"/>
      <c r="K8" s="35"/>
      <c r="L8" s="35"/>
      <c r="M8" s="35"/>
      <c r="N8" s="35"/>
      <c r="O8" s="40">
        <f>SUM(C8:N8)</f>
        <v>0</v>
      </c>
      <c r="P8" s="47"/>
    </row>
    <row r="9" spans="2:16" x14ac:dyDescent="0.3">
      <c r="B9" s="35" t="s">
        <v>24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40">
        <f t="shared" si="1"/>
        <v>0</v>
      </c>
    </row>
    <row r="10" spans="2:16" s="23" customFormat="1" x14ac:dyDescent="0.3">
      <c r="B10" s="21" t="s">
        <v>38</v>
      </c>
      <c r="C10" s="21"/>
      <c r="D10" s="21"/>
      <c r="E10" s="21"/>
      <c r="F10" s="21"/>
      <c r="G10" s="21"/>
      <c r="H10" s="21"/>
      <c r="I10" s="24"/>
      <c r="J10" s="24"/>
      <c r="K10" s="24"/>
      <c r="L10" s="24"/>
      <c r="M10" s="24"/>
      <c r="N10" s="24"/>
      <c r="O10" s="22">
        <f t="shared" si="1"/>
        <v>0</v>
      </c>
      <c r="P10" s="47"/>
    </row>
    <row r="11" spans="2:16" s="23" customFormat="1" x14ac:dyDescent="0.3">
      <c r="B11" s="21" t="s">
        <v>33</v>
      </c>
      <c r="C11" s="21"/>
      <c r="D11" s="21"/>
      <c r="E11" s="21"/>
      <c r="F11" s="21"/>
      <c r="G11" s="21"/>
      <c r="H11" s="21"/>
      <c r="I11" s="24"/>
      <c r="J11" s="24"/>
      <c r="K11" s="24"/>
      <c r="L11" s="24"/>
      <c r="M11" s="24"/>
      <c r="N11" s="24"/>
      <c r="O11" s="22">
        <f t="shared" si="1"/>
        <v>0</v>
      </c>
      <c r="P11" s="47"/>
    </row>
    <row r="12" spans="2:16" s="23" customFormat="1" x14ac:dyDescent="0.3">
      <c r="B12" s="21" t="s">
        <v>67</v>
      </c>
      <c r="C12" s="24"/>
      <c r="D12" s="24"/>
      <c r="E12" s="21"/>
      <c r="F12" s="24"/>
      <c r="G12" s="24"/>
      <c r="H12" s="24"/>
      <c r="I12" s="24"/>
      <c r="J12" s="24"/>
      <c r="K12" s="24"/>
      <c r="L12" s="24"/>
      <c r="M12" s="24"/>
      <c r="N12" s="24"/>
      <c r="O12" s="22">
        <f t="shared" si="1"/>
        <v>0</v>
      </c>
      <c r="P12" s="47"/>
    </row>
    <row r="13" spans="2:16" s="23" customFormat="1" x14ac:dyDescent="0.3">
      <c r="B13" s="21" t="s">
        <v>68</v>
      </c>
      <c r="C13" s="21"/>
      <c r="D13" s="21"/>
      <c r="E13" s="21"/>
      <c r="F13" s="21"/>
      <c r="G13" s="21"/>
      <c r="H13" s="21"/>
      <c r="I13" s="24"/>
      <c r="J13" s="24"/>
      <c r="K13" s="24"/>
      <c r="L13" s="24"/>
      <c r="M13" s="24"/>
      <c r="N13" s="24"/>
      <c r="O13" s="22">
        <f t="shared" si="1"/>
        <v>0</v>
      </c>
      <c r="P13" s="47"/>
    </row>
    <row r="14" spans="2:16" s="23" customFormat="1" x14ac:dyDescent="0.3">
      <c r="B14" s="21" t="s">
        <v>44</v>
      </c>
      <c r="C14" s="21"/>
      <c r="D14" s="21"/>
      <c r="E14" s="21"/>
      <c r="F14" s="21"/>
      <c r="G14" s="21"/>
      <c r="H14" s="21"/>
      <c r="I14" s="24"/>
      <c r="J14" s="24"/>
      <c r="K14" s="24"/>
      <c r="L14" s="24"/>
      <c r="M14" s="24"/>
      <c r="N14" s="24"/>
      <c r="O14" s="22">
        <f t="shared" si="1"/>
        <v>0</v>
      </c>
      <c r="P14" s="47"/>
    </row>
    <row r="15" spans="2:16" s="23" customFormat="1" x14ac:dyDescent="0.3">
      <c r="B15" s="21" t="s">
        <v>8</v>
      </c>
      <c r="C15" s="21"/>
      <c r="D15" s="21"/>
      <c r="E15" s="21"/>
      <c r="F15" s="21"/>
      <c r="G15" s="21"/>
      <c r="H15" s="21"/>
      <c r="I15" s="24"/>
      <c r="J15" s="24"/>
      <c r="K15" s="24"/>
      <c r="L15" s="24"/>
      <c r="M15" s="24"/>
      <c r="N15" s="24"/>
      <c r="O15" s="22">
        <f t="shared" si="1"/>
        <v>0</v>
      </c>
      <c r="P15" s="47"/>
    </row>
    <row r="16" spans="2:16" s="23" customFormat="1" x14ac:dyDescent="0.3">
      <c r="B16" s="21" t="s">
        <v>49</v>
      </c>
      <c r="C16" s="21"/>
      <c r="D16" s="21"/>
      <c r="E16" s="21"/>
      <c r="F16" s="24"/>
      <c r="G16" s="21"/>
      <c r="H16" s="21"/>
      <c r="I16" s="24"/>
      <c r="J16" s="24"/>
      <c r="K16" s="24"/>
      <c r="L16" s="24"/>
      <c r="M16" s="24"/>
      <c r="N16" s="24"/>
      <c r="O16" s="22"/>
      <c r="P16" s="47"/>
    </row>
    <row r="17" spans="2:16" s="23" customFormat="1" x14ac:dyDescent="0.3">
      <c r="B17" s="21" t="s">
        <v>69</v>
      </c>
      <c r="C17" s="21"/>
      <c r="D17" s="21"/>
      <c r="E17" s="21"/>
      <c r="F17" s="21"/>
      <c r="G17" s="21"/>
      <c r="H17" s="21"/>
      <c r="I17" s="24"/>
      <c r="J17" s="24"/>
      <c r="K17" s="24"/>
      <c r="L17" s="24"/>
      <c r="M17" s="24"/>
      <c r="N17" s="24"/>
      <c r="O17" s="22">
        <f>SUM(C17:N17)</f>
        <v>0</v>
      </c>
      <c r="P17" s="47"/>
    </row>
    <row r="18" spans="2:16" s="23" customFormat="1" x14ac:dyDescent="0.3">
      <c r="B18" s="21" t="s">
        <v>48</v>
      </c>
      <c r="C18" s="21"/>
      <c r="E18" s="21"/>
      <c r="F18" s="21"/>
      <c r="G18" s="21"/>
      <c r="H18" s="21"/>
      <c r="I18" s="24"/>
      <c r="J18" s="24"/>
      <c r="K18" s="24"/>
      <c r="L18" s="24"/>
      <c r="M18" s="24"/>
      <c r="N18" s="24"/>
      <c r="O18" s="22">
        <f t="shared" ref="O18:O27" si="2">SUM(C18:N18)</f>
        <v>0</v>
      </c>
      <c r="P18" s="47"/>
    </row>
    <row r="19" spans="2:16" s="23" customFormat="1" x14ac:dyDescent="0.3">
      <c r="B19" s="21" t="s">
        <v>45</v>
      </c>
      <c r="C19" s="21"/>
      <c r="D19" s="21"/>
      <c r="E19" s="21"/>
      <c r="F19" s="21"/>
      <c r="G19" s="21"/>
      <c r="H19" s="21"/>
      <c r="I19" s="24"/>
      <c r="J19" s="24"/>
      <c r="K19" s="24"/>
      <c r="L19" s="24"/>
      <c r="M19" s="24"/>
      <c r="N19" s="24"/>
      <c r="O19" s="22">
        <f t="shared" ref="O19:O26" si="3">SUM(C19:N19)</f>
        <v>0</v>
      </c>
      <c r="P19" s="47"/>
    </row>
    <row r="20" spans="2:16" s="23" customFormat="1" x14ac:dyDescent="0.3">
      <c r="B20" s="21" t="s">
        <v>46</v>
      </c>
      <c r="C20" s="21"/>
      <c r="D20" s="21"/>
      <c r="E20" s="21"/>
      <c r="F20" s="21"/>
      <c r="G20" s="21"/>
      <c r="H20" s="21"/>
      <c r="I20" s="24"/>
      <c r="J20" s="24"/>
      <c r="K20" s="24"/>
      <c r="L20" s="24"/>
      <c r="M20" s="24"/>
      <c r="N20" s="24"/>
      <c r="O20" s="22">
        <f>SUM(C20:N20)</f>
        <v>0</v>
      </c>
      <c r="P20" s="47"/>
    </row>
    <row r="21" spans="2:16" s="23" customFormat="1" x14ac:dyDescent="0.3">
      <c r="B21" s="21" t="s">
        <v>47</v>
      </c>
      <c r="C21" s="21"/>
      <c r="D21" s="21"/>
      <c r="E21" s="21"/>
      <c r="F21" s="21"/>
      <c r="G21" s="21"/>
      <c r="H21" s="21"/>
      <c r="I21" s="24"/>
      <c r="J21" s="24"/>
      <c r="K21" s="24"/>
      <c r="L21" s="24"/>
      <c r="M21" s="24"/>
      <c r="N21" s="24"/>
      <c r="O21" s="22">
        <f t="shared" si="3"/>
        <v>0</v>
      </c>
      <c r="P21" s="47"/>
    </row>
    <row r="22" spans="2:16" x14ac:dyDescent="0.3">
      <c r="B22" s="24" t="s">
        <v>57</v>
      </c>
      <c r="C22" s="24"/>
      <c r="D22" s="24"/>
      <c r="E22" s="24"/>
      <c r="F22" s="24"/>
      <c r="G22" s="17"/>
      <c r="H22" s="24"/>
      <c r="I22" s="24"/>
      <c r="J22" s="17"/>
      <c r="K22" s="17"/>
      <c r="L22" s="17"/>
      <c r="M22" s="24"/>
      <c r="N22" s="24"/>
      <c r="O22" s="22">
        <f t="shared" si="3"/>
        <v>0</v>
      </c>
      <c r="P22" s="1"/>
    </row>
    <row r="23" spans="2:16" s="23" customFormat="1" x14ac:dyDescent="0.3">
      <c r="B23" s="21" t="s">
        <v>71</v>
      </c>
      <c r="C23" s="21"/>
      <c r="D23" s="21"/>
      <c r="E23" s="21"/>
      <c r="F23" s="21"/>
      <c r="G23" s="21"/>
      <c r="H23" s="21"/>
      <c r="I23" s="24"/>
      <c r="J23" s="24"/>
      <c r="K23" s="24"/>
      <c r="L23" s="24"/>
      <c r="M23" s="24"/>
      <c r="N23" s="24"/>
      <c r="O23" s="22">
        <f t="shared" si="3"/>
        <v>0</v>
      </c>
      <c r="P23" s="47"/>
    </row>
    <row r="24" spans="2:16" s="23" customFormat="1" x14ac:dyDescent="0.3">
      <c r="B24" s="21" t="s">
        <v>59</v>
      </c>
      <c r="C24" s="21"/>
      <c r="D24" s="21"/>
      <c r="E24" s="21"/>
      <c r="F24" s="21"/>
      <c r="G24" s="21"/>
      <c r="H24" s="21"/>
      <c r="I24" s="24"/>
      <c r="J24" s="24"/>
      <c r="K24" s="24"/>
      <c r="L24" s="24"/>
      <c r="M24" s="24"/>
      <c r="N24" s="24"/>
      <c r="O24" s="22">
        <f t="shared" si="3"/>
        <v>0</v>
      </c>
      <c r="P24" s="47"/>
    </row>
    <row r="25" spans="2:16" s="23" customFormat="1" x14ac:dyDescent="0.3">
      <c r="B25" s="21" t="s">
        <v>72</v>
      </c>
      <c r="C25" s="21"/>
      <c r="D25" s="21"/>
      <c r="E25" s="21"/>
      <c r="F25" s="21"/>
      <c r="G25" s="21"/>
      <c r="H25" s="21"/>
      <c r="I25" s="24"/>
      <c r="J25" s="24"/>
      <c r="K25" s="24"/>
      <c r="L25" s="24"/>
      <c r="M25" s="24"/>
      <c r="N25" s="24"/>
      <c r="O25" s="22">
        <f t="shared" si="3"/>
        <v>0</v>
      </c>
      <c r="P25" s="47"/>
    </row>
    <row r="26" spans="2:16" s="23" customFormat="1" x14ac:dyDescent="0.3">
      <c r="B26" s="36" t="s">
        <v>73</v>
      </c>
      <c r="C26" s="21"/>
      <c r="D26" s="21"/>
      <c r="E26" s="21"/>
      <c r="F26" s="21"/>
      <c r="G26" s="21"/>
      <c r="H26" s="21"/>
      <c r="I26" s="24"/>
      <c r="J26" s="24"/>
      <c r="K26" s="24"/>
      <c r="L26" s="24"/>
      <c r="M26" s="24"/>
      <c r="N26" s="24"/>
      <c r="O26" s="22">
        <f t="shared" si="3"/>
        <v>0</v>
      </c>
      <c r="P26" s="47"/>
    </row>
    <row r="27" spans="2:16" s="23" customFormat="1" x14ac:dyDescent="0.3">
      <c r="B27" s="21" t="s">
        <v>50</v>
      </c>
      <c r="C27" s="21"/>
      <c r="D27" s="21"/>
      <c r="E27" s="21"/>
      <c r="F27" s="21"/>
      <c r="G27" s="21"/>
      <c r="H27" s="21"/>
      <c r="I27" s="24"/>
      <c r="J27" s="24"/>
      <c r="K27" s="24"/>
      <c r="L27" s="24"/>
      <c r="M27" s="24"/>
      <c r="N27" s="24"/>
      <c r="O27" s="22">
        <f t="shared" si="2"/>
        <v>0</v>
      </c>
      <c r="P27" s="47"/>
    </row>
    <row r="28" spans="2:16" s="23" customFormat="1" x14ac:dyDescent="0.3">
      <c r="B28" s="21" t="s">
        <v>42</v>
      </c>
      <c r="C28" s="21"/>
      <c r="D28" s="21"/>
      <c r="E28" s="21"/>
      <c r="F28" s="21"/>
      <c r="G28" s="21"/>
      <c r="H28" s="21"/>
      <c r="I28" s="24"/>
      <c r="J28" s="24"/>
      <c r="K28" s="24"/>
      <c r="L28" s="24"/>
      <c r="M28" s="24"/>
      <c r="N28" s="24"/>
      <c r="O28" s="22">
        <f>SUM(C28:N28)</f>
        <v>0</v>
      </c>
      <c r="P28" s="47"/>
    </row>
    <row r="29" spans="2:16" s="23" customFormat="1" x14ac:dyDescent="0.3">
      <c r="B29" s="37" t="s">
        <v>53</v>
      </c>
      <c r="C29" s="37"/>
      <c r="D29" s="37"/>
      <c r="E29" s="37"/>
      <c r="F29" s="37"/>
      <c r="G29" s="37"/>
      <c r="H29" s="37"/>
      <c r="I29" s="35"/>
      <c r="J29" s="35"/>
      <c r="K29" s="35"/>
      <c r="L29" s="35"/>
      <c r="M29" s="35"/>
      <c r="N29" s="35"/>
      <c r="O29" s="40">
        <f t="shared" ref="O29" si="4">SUM(C29:N29)</f>
        <v>0</v>
      </c>
      <c r="P29" s="47"/>
    </row>
    <row r="30" spans="2:16" x14ac:dyDescent="0.3">
      <c r="B30" s="13" t="s">
        <v>0</v>
      </c>
      <c r="C30" s="13">
        <f t="shared" ref="C30:N30" si="5">SUM(C7:C29)</f>
        <v>0</v>
      </c>
      <c r="D30" s="13">
        <f t="shared" si="5"/>
        <v>0</v>
      </c>
      <c r="E30" s="13">
        <f t="shared" si="5"/>
        <v>0</v>
      </c>
      <c r="F30" s="13">
        <f t="shared" si="5"/>
        <v>0</v>
      </c>
      <c r="G30" s="13">
        <f t="shared" si="5"/>
        <v>0</v>
      </c>
      <c r="H30" s="13">
        <f t="shared" si="5"/>
        <v>0</v>
      </c>
      <c r="I30" s="13">
        <f t="shared" si="5"/>
        <v>0</v>
      </c>
      <c r="J30" s="13">
        <f t="shared" si="5"/>
        <v>0</v>
      </c>
      <c r="K30" s="13">
        <f t="shared" si="5"/>
        <v>0</v>
      </c>
      <c r="L30" s="13">
        <f t="shared" si="5"/>
        <v>0</v>
      </c>
      <c r="M30" s="13">
        <f t="shared" si="5"/>
        <v>0</v>
      </c>
      <c r="N30" s="13">
        <f t="shared" si="5"/>
        <v>0</v>
      </c>
      <c r="O30" s="13">
        <f>SUM(O14:O29)</f>
        <v>0</v>
      </c>
    </row>
    <row r="31" spans="2:16" s="30" customFormat="1" ht="15" customHeight="1" x14ac:dyDescent="0.3">
      <c r="B31" s="29" t="s">
        <v>9</v>
      </c>
      <c r="C31" s="29"/>
      <c r="D31" s="29"/>
      <c r="E31" s="29"/>
      <c r="F31" s="29"/>
      <c r="G31" s="29"/>
      <c r="H31" s="29"/>
      <c r="I31" s="24"/>
      <c r="J31" s="24"/>
      <c r="K31" s="24"/>
      <c r="L31" s="24"/>
      <c r="M31" s="24"/>
      <c r="N31" s="24"/>
      <c r="O31" s="22">
        <f>SUM(C31:N31)</f>
        <v>0</v>
      </c>
      <c r="P31" s="48"/>
    </row>
    <row r="32" spans="2:16" s="19" customFormat="1" ht="15" customHeight="1" x14ac:dyDescent="0.3">
      <c r="B32" s="20" t="s">
        <v>10</v>
      </c>
      <c r="C32" s="20"/>
      <c r="D32" s="29"/>
      <c r="E32" s="20"/>
      <c r="F32" s="20"/>
      <c r="G32" s="20"/>
      <c r="H32" s="29"/>
      <c r="I32" s="17"/>
      <c r="J32" s="24"/>
      <c r="K32" s="17"/>
      <c r="L32" s="17"/>
      <c r="M32" s="17"/>
      <c r="N32" s="17"/>
      <c r="O32" s="5">
        <f>SUM(C32:N32)</f>
        <v>0</v>
      </c>
      <c r="P32" s="49"/>
    </row>
    <row r="33" spans="1:16" s="19" customFormat="1" x14ac:dyDescent="0.3">
      <c r="B33" s="18" t="s">
        <v>11</v>
      </c>
      <c r="C33" s="13">
        <f t="shared" ref="C33:O33" si="6">C5-C30+C31-C32</f>
        <v>0</v>
      </c>
      <c r="D33" s="13">
        <f t="shared" si="6"/>
        <v>0</v>
      </c>
      <c r="E33" s="13">
        <f t="shared" si="6"/>
        <v>0</v>
      </c>
      <c r="F33" s="13">
        <f t="shared" si="6"/>
        <v>0</v>
      </c>
      <c r="G33" s="13">
        <f t="shared" si="6"/>
        <v>0</v>
      </c>
      <c r="H33" s="13">
        <f t="shared" si="6"/>
        <v>0</v>
      </c>
      <c r="I33" s="13">
        <f t="shared" si="6"/>
        <v>0</v>
      </c>
      <c r="J33" s="13">
        <f t="shared" si="6"/>
        <v>0</v>
      </c>
      <c r="K33" s="13">
        <f t="shared" si="6"/>
        <v>0</v>
      </c>
      <c r="L33" s="13">
        <f t="shared" si="6"/>
        <v>0</v>
      </c>
      <c r="M33" s="13">
        <f t="shared" si="6"/>
        <v>0</v>
      </c>
      <c r="N33" s="13">
        <f t="shared" si="6"/>
        <v>0</v>
      </c>
      <c r="O33" s="13">
        <f t="shared" si="6"/>
        <v>0</v>
      </c>
      <c r="P33" s="49"/>
    </row>
    <row r="34" spans="1:16" s="19" customFormat="1" x14ac:dyDescent="0.3">
      <c r="B34" s="20" t="s">
        <v>12</v>
      </c>
      <c r="C34" s="19">
        <f>C33*0.2</f>
        <v>0</v>
      </c>
      <c r="D34" s="19">
        <f t="shared" ref="D34:N34" si="7">D33*0.2</f>
        <v>0</v>
      </c>
      <c r="E34" s="19">
        <f t="shared" si="7"/>
        <v>0</v>
      </c>
      <c r="F34" s="19">
        <f t="shared" si="7"/>
        <v>0</v>
      </c>
      <c r="G34" s="19">
        <f t="shared" si="7"/>
        <v>0</v>
      </c>
      <c r="H34" s="19">
        <f t="shared" si="7"/>
        <v>0</v>
      </c>
      <c r="I34" s="19">
        <f t="shared" si="7"/>
        <v>0</v>
      </c>
      <c r="J34" s="19">
        <f t="shared" si="7"/>
        <v>0</v>
      </c>
      <c r="K34" s="19">
        <f t="shared" si="7"/>
        <v>0</v>
      </c>
      <c r="L34" s="19">
        <f t="shared" si="7"/>
        <v>0</v>
      </c>
      <c r="M34" s="19">
        <f t="shared" si="7"/>
        <v>0</v>
      </c>
      <c r="N34" s="19">
        <f t="shared" si="7"/>
        <v>0</v>
      </c>
      <c r="O34" s="5">
        <f>SUM(C34:N34)</f>
        <v>0</v>
      </c>
      <c r="P34" s="49"/>
    </row>
    <row r="35" spans="1:16" s="19" customFormat="1" x14ac:dyDescent="0.3">
      <c r="B35" s="18" t="s">
        <v>7</v>
      </c>
      <c r="C35" s="13">
        <f t="shared" ref="C35:N35" si="8">C33-C34</f>
        <v>0</v>
      </c>
      <c r="D35" s="13">
        <f t="shared" si="8"/>
        <v>0</v>
      </c>
      <c r="E35" s="13">
        <f t="shared" si="8"/>
        <v>0</v>
      </c>
      <c r="F35" s="13">
        <f t="shared" si="8"/>
        <v>0</v>
      </c>
      <c r="G35" s="13">
        <f t="shared" si="8"/>
        <v>0</v>
      </c>
      <c r="H35" s="13">
        <f t="shared" si="8"/>
        <v>0</v>
      </c>
      <c r="I35" s="13">
        <f>I33-I34</f>
        <v>0</v>
      </c>
      <c r="J35" s="13">
        <f t="shared" si="8"/>
        <v>0</v>
      </c>
      <c r="K35" s="13">
        <f t="shared" si="8"/>
        <v>0</v>
      </c>
      <c r="L35" s="13">
        <f t="shared" si="8"/>
        <v>0</v>
      </c>
      <c r="M35" s="13">
        <f t="shared" si="8"/>
        <v>0</v>
      </c>
      <c r="N35" s="13">
        <f t="shared" si="8"/>
        <v>0</v>
      </c>
      <c r="O35" s="13">
        <f>O33-O34</f>
        <v>0</v>
      </c>
      <c r="P35" s="49"/>
    </row>
    <row r="36" spans="1:16" s="11" customForma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P36" s="46"/>
    </row>
    <row r="37" spans="1:16" x14ac:dyDescent="0.3">
      <c r="I37" s="26"/>
      <c r="J37" s="26"/>
      <c r="K37" s="26"/>
      <c r="L37" s="26"/>
      <c r="M37" s="26"/>
      <c r="N37" s="3" t="s">
        <v>31</v>
      </c>
      <c r="O37" s="27" t="e">
        <f>O33/O5</f>
        <v>#DIV/0!</v>
      </c>
    </row>
    <row r="38" spans="1:16" x14ac:dyDescent="0.3">
      <c r="I38" s="26"/>
      <c r="J38" s="26"/>
      <c r="K38" s="26"/>
      <c r="L38" s="26"/>
      <c r="M38" s="26"/>
      <c r="N38" s="3"/>
      <c r="O38" s="27"/>
    </row>
  </sheetData>
  <pageMargins left="0.7" right="0.7" top="0.75" bottom="0.75" header="0.3" footer="0.3"/>
  <ignoredErrors>
    <ignoredError sqref="O30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F8FC-62F3-49FD-985F-1836BD633EF1}">
  <sheetPr>
    <tabColor theme="9" tint="0.59999389629810485"/>
  </sheetPr>
  <dimension ref="A1:P54"/>
  <sheetViews>
    <sheetView zoomScale="90" zoomScaleNormal="90" workbookViewId="0">
      <pane ySplit="1" topLeftCell="A2" activePane="bottomLeft" state="frozen"/>
      <selection pane="bottomLeft" activeCell="B2" sqref="B2"/>
    </sheetView>
  </sheetViews>
  <sheetFormatPr defaultColWidth="9.109375" defaultRowHeight="14.4" x14ac:dyDescent="0.3"/>
  <cols>
    <col min="1" max="1" width="1.88671875" style="1" customWidth="1"/>
    <col min="2" max="2" width="41.109375" style="1" customWidth="1"/>
    <col min="3" max="3" width="18.44140625" style="1" customWidth="1"/>
    <col min="4" max="4" width="18.33203125" style="1" customWidth="1"/>
    <col min="5" max="5" width="18.109375" style="1" customWidth="1"/>
    <col min="6" max="6" width="19.109375" style="1" customWidth="1"/>
    <col min="7" max="9" width="18.33203125" style="1" bestFit="1" customWidth="1"/>
    <col min="10" max="13" width="17.77734375" style="1" bestFit="1" customWidth="1"/>
    <col min="14" max="14" width="23.77734375" style="1" bestFit="1" customWidth="1"/>
    <col min="15" max="15" width="20.109375" style="11" bestFit="1" customWidth="1"/>
    <col min="16" max="16" width="19.44140625" style="1" customWidth="1"/>
    <col min="17" max="16384" width="9.109375" style="1"/>
  </cols>
  <sheetData>
    <row r="1" spans="2:15" ht="15" thickBot="1" x14ac:dyDescent="0.35">
      <c r="B1" s="5" t="s">
        <v>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23</v>
      </c>
      <c r="I1" s="43" t="s">
        <v>25</v>
      </c>
      <c r="J1" s="43" t="s">
        <v>26</v>
      </c>
      <c r="K1" s="44" t="s">
        <v>27</v>
      </c>
      <c r="L1" s="43" t="s">
        <v>28</v>
      </c>
      <c r="M1" s="44" t="s">
        <v>29</v>
      </c>
      <c r="N1" s="44" t="s">
        <v>30</v>
      </c>
      <c r="O1" s="11" t="s">
        <v>2</v>
      </c>
    </row>
    <row r="2" spans="2:15" x14ac:dyDescent="0.3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x14ac:dyDescent="0.3">
      <c r="B3" s="38" t="s">
        <v>13</v>
      </c>
      <c r="C3" s="34"/>
      <c r="D3" s="34"/>
      <c r="E3" s="34"/>
      <c r="F3" s="34"/>
      <c r="G3" s="39"/>
      <c r="H3" s="34"/>
      <c r="I3" s="34"/>
      <c r="J3" s="34"/>
      <c r="K3" s="39"/>
      <c r="L3" s="39"/>
      <c r="M3" s="39"/>
      <c r="N3" s="39"/>
      <c r="O3" s="12">
        <f>SUM(C3:N3)</f>
        <v>0</v>
      </c>
    </row>
    <row r="4" spans="2:15" x14ac:dyDescent="0.3">
      <c r="B4" s="38" t="s">
        <v>65</v>
      </c>
      <c r="C4" s="34"/>
      <c r="D4" s="34"/>
      <c r="E4" s="34"/>
      <c r="F4" s="34"/>
      <c r="G4" s="39"/>
      <c r="H4" s="34"/>
      <c r="I4" s="34"/>
      <c r="J4" s="34"/>
      <c r="K4" s="39"/>
      <c r="L4" s="39"/>
      <c r="M4" s="39"/>
      <c r="N4" s="39"/>
      <c r="O4" s="12">
        <f t="shared" ref="O4:O6" si="0">SUM(C4:N4)</f>
        <v>0</v>
      </c>
    </row>
    <row r="5" spans="2:15" x14ac:dyDescent="0.3">
      <c r="B5" s="38" t="s">
        <v>64</v>
      </c>
      <c r="C5" s="34"/>
      <c r="D5" s="34"/>
      <c r="E5" s="34"/>
      <c r="F5" s="34"/>
      <c r="G5" s="39"/>
      <c r="H5" s="34"/>
      <c r="I5" s="34"/>
      <c r="J5" s="34"/>
      <c r="K5" s="39"/>
      <c r="L5" s="39"/>
      <c r="M5" s="39"/>
      <c r="N5" s="39"/>
      <c r="O5" s="12">
        <f t="shared" si="0"/>
        <v>0</v>
      </c>
    </row>
    <row r="6" spans="2:15" x14ac:dyDescent="0.3">
      <c r="B6" s="38" t="s">
        <v>34</v>
      </c>
      <c r="C6" s="34"/>
      <c r="D6" s="34"/>
      <c r="E6" s="34"/>
      <c r="F6" s="34"/>
      <c r="G6" s="39"/>
      <c r="H6" s="39"/>
      <c r="I6" s="39"/>
      <c r="J6" s="34"/>
      <c r="K6" s="39"/>
      <c r="L6" s="39"/>
      <c r="M6" s="39"/>
      <c r="N6" s="39"/>
      <c r="O6" s="12">
        <f t="shared" si="0"/>
        <v>0</v>
      </c>
    </row>
    <row r="7" spans="2:15" ht="15" thickBot="1" x14ac:dyDescent="0.35">
      <c r="B7" s="14" t="s">
        <v>3</v>
      </c>
      <c r="C7" s="15">
        <f>SUM(C2:C6)</f>
        <v>0</v>
      </c>
      <c r="D7" s="15">
        <f>SUM(D2:D6)</f>
        <v>0</v>
      </c>
      <c r="E7" s="15">
        <f>SUM(E2:E6)</f>
        <v>0</v>
      </c>
      <c r="F7" s="15">
        <f t="shared" ref="F7:O7" si="1">SUM(F2:F6)</f>
        <v>0</v>
      </c>
      <c r="G7" s="15">
        <f t="shared" si="1"/>
        <v>0</v>
      </c>
      <c r="H7" s="15">
        <f t="shared" si="1"/>
        <v>0</v>
      </c>
      <c r="I7" s="15">
        <f t="shared" si="1"/>
        <v>0</v>
      </c>
      <c r="J7" s="15">
        <f t="shared" si="1"/>
        <v>0</v>
      </c>
      <c r="K7" s="15">
        <f t="shared" si="1"/>
        <v>0</v>
      </c>
      <c r="L7" s="15">
        <f t="shared" si="1"/>
        <v>0</v>
      </c>
      <c r="M7" s="15">
        <f t="shared" si="1"/>
        <v>0</v>
      </c>
      <c r="N7" s="15">
        <f t="shared" si="1"/>
        <v>0</v>
      </c>
      <c r="O7" s="16">
        <f t="shared" si="1"/>
        <v>0</v>
      </c>
    </row>
    <row r="8" spans="2:15" x14ac:dyDescent="0.3">
      <c r="B8" s="2" t="s">
        <v>37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2:15" s="23" customFormat="1" x14ac:dyDescent="0.3">
      <c r="B9" s="21" t="s">
        <v>39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5">
        <f t="shared" ref="O9:O20" si="2">SUM(C9:N9)</f>
        <v>0</v>
      </c>
    </row>
    <row r="10" spans="2:15" s="23" customFormat="1" x14ac:dyDescent="0.3">
      <c r="B10" s="21" t="s">
        <v>38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5">
        <f t="shared" si="2"/>
        <v>0</v>
      </c>
    </row>
    <row r="11" spans="2:15" s="23" customFormat="1" x14ac:dyDescent="0.3">
      <c r="B11" s="21" t="s">
        <v>66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5">
        <f>SUM(C11:N11)</f>
        <v>0</v>
      </c>
    </row>
    <row r="12" spans="2:15" s="23" customFormat="1" x14ac:dyDescent="0.3">
      <c r="B12" s="21" t="s">
        <v>33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5">
        <f t="shared" si="2"/>
        <v>0</v>
      </c>
    </row>
    <row r="13" spans="2:15" s="23" customFormat="1" x14ac:dyDescent="0.3">
      <c r="B13" s="21" t="s">
        <v>67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5">
        <f t="shared" si="2"/>
        <v>0</v>
      </c>
    </row>
    <row r="14" spans="2:15" x14ac:dyDescent="0.3">
      <c r="B14" s="21" t="s">
        <v>68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5">
        <f t="shared" si="2"/>
        <v>0</v>
      </c>
    </row>
    <row r="15" spans="2:15" s="23" customFormat="1" x14ac:dyDescent="0.3">
      <c r="B15" s="21" t="s">
        <v>40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5">
        <f t="shared" si="2"/>
        <v>0</v>
      </c>
    </row>
    <row r="16" spans="2:15" x14ac:dyDescent="0.3">
      <c r="B16" s="21" t="s">
        <v>8</v>
      </c>
      <c r="C16" s="24"/>
      <c r="D16" s="21"/>
      <c r="E16" s="21"/>
      <c r="F16" s="24"/>
      <c r="G16" s="24"/>
      <c r="H16" s="24"/>
      <c r="I16" s="24"/>
      <c r="J16" s="24"/>
      <c r="K16" s="24"/>
      <c r="L16" s="24"/>
      <c r="M16" s="24"/>
      <c r="N16" s="24"/>
      <c r="O16" s="5">
        <f t="shared" si="2"/>
        <v>0</v>
      </c>
    </row>
    <row r="17" spans="2:15" x14ac:dyDescent="0.3">
      <c r="B17" s="21" t="s">
        <v>10</v>
      </c>
      <c r="C17" s="24"/>
      <c r="D17" s="21"/>
      <c r="E17" s="21"/>
      <c r="F17" s="24"/>
      <c r="G17" s="24"/>
      <c r="H17" s="24"/>
      <c r="I17" s="24"/>
      <c r="J17" s="24"/>
      <c r="K17" s="24"/>
      <c r="L17" s="24"/>
      <c r="M17" s="24"/>
      <c r="N17" s="24"/>
      <c r="O17" s="5">
        <f t="shared" si="2"/>
        <v>0</v>
      </c>
    </row>
    <row r="18" spans="2:15" s="23" customFormat="1" x14ac:dyDescent="0.3">
      <c r="B18" s="21" t="s">
        <v>70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5">
        <f t="shared" si="2"/>
        <v>0</v>
      </c>
    </row>
    <row r="19" spans="2:15" s="23" customFormat="1" x14ac:dyDescent="0.3">
      <c r="B19" s="21" t="s">
        <v>45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5">
        <f>SUM(C19:N19)</f>
        <v>0</v>
      </c>
    </row>
    <row r="20" spans="2:15" x14ac:dyDescent="0.3">
      <c r="B20" s="24" t="s">
        <v>57</v>
      </c>
      <c r="C20" s="24"/>
      <c r="D20" s="24"/>
      <c r="E20" s="24"/>
      <c r="F20" s="24"/>
      <c r="G20" s="17"/>
      <c r="H20" s="24"/>
      <c r="I20" s="24"/>
      <c r="J20" s="17"/>
      <c r="K20" s="17"/>
      <c r="L20" s="17"/>
      <c r="M20" s="24"/>
      <c r="N20" s="24"/>
      <c r="O20" s="5">
        <f t="shared" si="2"/>
        <v>0</v>
      </c>
    </row>
    <row r="21" spans="2:15" x14ac:dyDescent="0.3">
      <c r="B21" s="21" t="s">
        <v>71</v>
      </c>
      <c r="C21" s="24"/>
      <c r="D21" s="21"/>
      <c r="E21" s="21"/>
      <c r="F21" s="24"/>
      <c r="G21" s="24"/>
      <c r="H21" s="24"/>
      <c r="I21" s="24"/>
      <c r="J21" s="24"/>
      <c r="K21" s="24"/>
      <c r="L21" s="24"/>
      <c r="M21" s="24"/>
      <c r="N21" s="24"/>
      <c r="O21" s="5">
        <f t="shared" ref="O21:O26" si="3">SUM(C21:N21)</f>
        <v>0</v>
      </c>
    </row>
    <row r="22" spans="2:15" x14ac:dyDescent="0.3">
      <c r="B22" s="21" t="s">
        <v>56</v>
      </c>
      <c r="C22" s="24"/>
      <c r="D22" s="21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5">
        <f t="shared" si="3"/>
        <v>0</v>
      </c>
    </row>
    <row r="23" spans="2:15" x14ac:dyDescent="0.3">
      <c r="B23" s="21" t="s">
        <v>76</v>
      </c>
      <c r="C23" s="24"/>
      <c r="D23" s="21"/>
      <c r="E23" s="21"/>
      <c r="F23" s="24"/>
      <c r="G23" s="24"/>
      <c r="H23" s="24"/>
      <c r="I23" s="24"/>
      <c r="J23" s="24"/>
      <c r="K23" s="24"/>
      <c r="L23" s="24"/>
      <c r="M23" s="24"/>
      <c r="N23" s="24"/>
      <c r="O23" s="5">
        <f t="shared" si="3"/>
        <v>0</v>
      </c>
    </row>
    <row r="24" spans="2:15" x14ac:dyDescent="0.3">
      <c r="B24" s="21" t="s">
        <v>14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5">
        <f t="shared" si="3"/>
        <v>0</v>
      </c>
    </row>
    <row r="25" spans="2:15" x14ac:dyDescent="0.3">
      <c r="B25" s="21" t="s">
        <v>42</v>
      </c>
      <c r="C25" s="24"/>
      <c r="D25" s="21"/>
      <c r="E25" s="21"/>
      <c r="F25" s="24"/>
      <c r="G25" s="24"/>
      <c r="H25" s="24"/>
      <c r="I25" s="24"/>
      <c r="J25" s="24"/>
      <c r="K25" s="24"/>
      <c r="L25" s="24"/>
      <c r="M25" s="24"/>
      <c r="N25" s="24"/>
      <c r="O25" s="5">
        <f t="shared" si="3"/>
        <v>0</v>
      </c>
    </row>
    <row r="26" spans="2:15" x14ac:dyDescent="0.3">
      <c r="B26" s="21" t="s">
        <v>53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5">
        <f t="shared" si="3"/>
        <v>0</v>
      </c>
    </row>
    <row r="27" spans="2:15" x14ac:dyDescent="0.3">
      <c r="B27" s="13" t="s">
        <v>0</v>
      </c>
      <c r="C27" s="13">
        <f t="shared" ref="C27:N27" si="4">SUM(C9:C26)</f>
        <v>0</v>
      </c>
      <c r="D27" s="13">
        <f t="shared" si="4"/>
        <v>0</v>
      </c>
      <c r="E27" s="13">
        <f t="shared" si="4"/>
        <v>0</v>
      </c>
      <c r="F27" s="13">
        <f t="shared" si="4"/>
        <v>0</v>
      </c>
      <c r="G27" s="13">
        <f t="shared" si="4"/>
        <v>0</v>
      </c>
      <c r="H27" s="13">
        <f t="shared" si="4"/>
        <v>0</v>
      </c>
      <c r="I27" s="13">
        <f t="shared" si="4"/>
        <v>0</v>
      </c>
      <c r="J27" s="13">
        <f t="shared" si="4"/>
        <v>0</v>
      </c>
      <c r="K27" s="13">
        <f t="shared" si="4"/>
        <v>0</v>
      </c>
      <c r="L27" s="13">
        <f t="shared" si="4"/>
        <v>0</v>
      </c>
      <c r="M27" s="13">
        <f t="shared" si="4"/>
        <v>0</v>
      </c>
      <c r="N27" s="13">
        <f t="shared" si="4"/>
        <v>0</v>
      </c>
      <c r="O27" s="13">
        <f>SUM(O19:O26)</f>
        <v>0</v>
      </c>
    </row>
    <row r="28" spans="2:15" ht="16.2" x14ac:dyDescent="0.45">
      <c r="B28" s="4" t="s">
        <v>1</v>
      </c>
      <c r="C28" s="4"/>
      <c r="D28" s="41"/>
      <c r="E28" s="4"/>
      <c r="F28" s="4"/>
      <c r="G28" s="4"/>
      <c r="H28" s="4"/>
      <c r="I28" s="4"/>
      <c r="J28" s="4"/>
      <c r="K28" s="4"/>
      <c r="L28" s="4"/>
      <c r="M28" s="4"/>
      <c r="N28" s="4"/>
      <c r="O28" s="5"/>
    </row>
    <row r="29" spans="2:15" x14ac:dyDescent="0.3">
      <c r="B29" s="21" t="s">
        <v>4</v>
      </c>
      <c r="C29" s="21"/>
      <c r="D29" s="24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2">
        <f t="shared" ref="O29:O44" si="5">SUM(C29:N29)</f>
        <v>0</v>
      </c>
    </row>
    <row r="30" spans="2:15" x14ac:dyDescent="0.3">
      <c r="B30" s="21" t="s">
        <v>8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2">
        <f t="shared" si="5"/>
        <v>0</v>
      </c>
    </row>
    <row r="31" spans="2:15" s="23" customFormat="1" x14ac:dyDescent="0.3">
      <c r="B31" s="21" t="s">
        <v>33</v>
      </c>
      <c r="C31" s="24"/>
      <c r="D31" s="24"/>
      <c r="E31" s="24"/>
      <c r="F31" s="21"/>
      <c r="G31" s="21"/>
      <c r="H31" s="21"/>
      <c r="I31" s="21"/>
      <c r="J31" s="21"/>
      <c r="K31" s="21"/>
      <c r="L31" s="21"/>
      <c r="M31" s="21"/>
      <c r="N31" s="21"/>
      <c r="O31" s="22">
        <f>SUM(C31:N31)</f>
        <v>0</v>
      </c>
    </row>
    <row r="32" spans="2:15" x14ac:dyDescent="0.3">
      <c r="B32" s="21" t="s">
        <v>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2">
        <f t="shared" si="5"/>
        <v>0</v>
      </c>
    </row>
    <row r="33" spans="2:15" x14ac:dyDescent="0.3">
      <c r="B33" s="21" t="s">
        <v>15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2">
        <f t="shared" si="5"/>
        <v>0</v>
      </c>
    </row>
    <row r="34" spans="2:15" x14ac:dyDescent="0.3">
      <c r="B34" s="21" t="s">
        <v>43</v>
      </c>
      <c r="C34" s="21"/>
      <c r="D34" s="21"/>
      <c r="E34" s="21"/>
      <c r="F34" s="21"/>
      <c r="G34" s="21"/>
      <c r="H34" s="21"/>
      <c r="I34" s="23"/>
      <c r="J34" s="23"/>
      <c r="K34" s="23"/>
      <c r="L34" s="23"/>
      <c r="M34" s="23"/>
      <c r="N34" s="23"/>
      <c r="O34" s="22">
        <f t="shared" si="5"/>
        <v>0</v>
      </c>
    </row>
    <row r="35" spans="2:15" x14ac:dyDescent="0.3">
      <c r="B35" s="21" t="s">
        <v>54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2">
        <f t="shared" si="5"/>
        <v>0</v>
      </c>
    </row>
    <row r="36" spans="2:15" x14ac:dyDescent="0.3">
      <c r="B36" s="21" t="s">
        <v>55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2">
        <f t="shared" si="5"/>
        <v>0</v>
      </c>
    </row>
    <row r="37" spans="2:15" x14ac:dyDescent="0.3">
      <c r="B37" s="21" t="s">
        <v>36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2">
        <f t="shared" si="5"/>
        <v>0</v>
      </c>
    </row>
    <row r="38" spans="2:15" x14ac:dyDescent="0.3">
      <c r="B38" s="21" t="s">
        <v>16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2">
        <f t="shared" si="5"/>
        <v>0</v>
      </c>
    </row>
    <row r="39" spans="2:15" ht="28.8" x14ac:dyDescent="0.3">
      <c r="B39" s="10" t="s">
        <v>58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2">
        <f t="shared" si="5"/>
        <v>0</v>
      </c>
    </row>
    <row r="40" spans="2:15" x14ac:dyDescent="0.3">
      <c r="B40" s="21" t="s">
        <v>32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2">
        <f t="shared" si="5"/>
        <v>0</v>
      </c>
    </row>
    <row r="41" spans="2:15" x14ac:dyDescent="0.3">
      <c r="B41" s="3" t="s">
        <v>35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2">
        <f t="shared" si="5"/>
        <v>0</v>
      </c>
    </row>
    <row r="42" spans="2:15" x14ac:dyDescent="0.3">
      <c r="B42" s="3" t="s">
        <v>10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2">
        <f t="shared" si="5"/>
        <v>0</v>
      </c>
    </row>
    <row r="43" spans="2:15" s="23" customFormat="1" x14ac:dyDescent="0.3">
      <c r="B43" s="3" t="s">
        <v>62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2">
        <f t="shared" si="5"/>
        <v>0</v>
      </c>
    </row>
    <row r="44" spans="2:15" s="23" customFormat="1" x14ac:dyDescent="0.3">
      <c r="B44" s="3" t="s">
        <v>22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2">
        <f t="shared" si="5"/>
        <v>0</v>
      </c>
    </row>
    <row r="45" spans="2:15" x14ac:dyDescent="0.3">
      <c r="B45" s="13" t="s">
        <v>0</v>
      </c>
      <c r="C45" s="42">
        <f t="shared" ref="C45:O45" si="6">SUM(C29:C44)</f>
        <v>0</v>
      </c>
      <c r="D45" s="42">
        <f t="shared" si="6"/>
        <v>0</v>
      </c>
      <c r="E45" s="42">
        <f t="shared" si="6"/>
        <v>0</v>
      </c>
      <c r="F45" s="42">
        <f t="shared" si="6"/>
        <v>0</v>
      </c>
      <c r="G45" s="42">
        <f t="shared" si="6"/>
        <v>0</v>
      </c>
      <c r="H45" s="42">
        <f t="shared" si="6"/>
        <v>0</v>
      </c>
      <c r="I45" s="42">
        <f t="shared" si="6"/>
        <v>0</v>
      </c>
      <c r="J45" s="42">
        <f t="shared" si="6"/>
        <v>0</v>
      </c>
      <c r="K45" s="42">
        <f t="shared" si="6"/>
        <v>0</v>
      </c>
      <c r="L45" s="42">
        <f t="shared" si="6"/>
        <v>0</v>
      </c>
      <c r="M45" s="42">
        <f t="shared" si="6"/>
        <v>0</v>
      </c>
      <c r="N45" s="42">
        <f t="shared" si="6"/>
        <v>0</v>
      </c>
      <c r="O45" s="42">
        <f t="shared" si="6"/>
        <v>0</v>
      </c>
    </row>
    <row r="46" spans="2:15" s="19" customFormat="1" ht="15" customHeight="1" x14ac:dyDescent="0.3">
      <c r="B46" s="20" t="s">
        <v>9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2">
        <f>SUM(C46:N46)</f>
        <v>0</v>
      </c>
    </row>
    <row r="47" spans="2:15" s="19" customFormat="1" ht="15" customHeight="1" x14ac:dyDescent="0.3">
      <c r="B47" s="20" t="s">
        <v>10</v>
      </c>
      <c r="C47" s="17"/>
      <c r="D47" s="24"/>
      <c r="E47" s="17"/>
      <c r="F47" s="17"/>
      <c r="G47" s="17"/>
      <c r="H47" s="17"/>
      <c r="I47" s="17"/>
      <c r="J47" s="24"/>
      <c r="K47" s="17"/>
      <c r="L47" s="17"/>
      <c r="M47" s="17"/>
      <c r="N47" s="17"/>
      <c r="O47" s="5">
        <f>SUM(C47:N47)</f>
        <v>0</v>
      </c>
    </row>
    <row r="48" spans="2:15" s="19" customFormat="1" x14ac:dyDescent="0.3">
      <c r="B48" s="18" t="s">
        <v>11</v>
      </c>
      <c r="C48" s="13">
        <f t="shared" ref="C48:O48" si="7">C7-C27-C45+C46-C47</f>
        <v>0</v>
      </c>
      <c r="D48" s="13">
        <f t="shared" si="7"/>
        <v>0</v>
      </c>
      <c r="E48" s="13">
        <f t="shared" si="7"/>
        <v>0</v>
      </c>
      <c r="F48" s="13">
        <f t="shared" si="7"/>
        <v>0</v>
      </c>
      <c r="G48" s="13">
        <f t="shared" si="7"/>
        <v>0</v>
      </c>
      <c r="H48" s="13">
        <f t="shared" si="7"/>
        <v>0</v>
      </c>
      <c r="I48" s="13">
        <f t="shared" si="7"/>
        <v>0</v>
      </c>
      <c r="J48" s="13">
        <f t="shared" si="7"/>
        <v>0</v>
      </c>
      <c r="K48" s="13">
        <f t="shared" si="7"/>
        <v>0</v>
      </c>
      <c r="L48" s="13">
        <f t="shared" si="7"/>
        <v>0</v>
      </c>
      <c r="M48" s="13">
        <f t="shared" si="7"/>
        <v>0</v>
      </c>
      <c r="N48" s="13">
        <f t="shared" si="7"/>
        <v>0</v>
      </c>
      <c r="O48" s="13">
        <f t="shared" si="7"/>
        <v>0</v>
      </c>
    </row>
    <row r="49" spans="1:16" s="19" customFormat="1" x14ac:dyDescent="0.3">
      <c r="B49" s="20" t="s">
        <v>12</v>
      </c>
      <c r="C49" s="19">
        <f>C48*0.2</f>
        <v>0</v>
      </c>
      <c r="D49" s="19">
        <f t="shared" ref="D49:N49" si="8">D48*0.2</f>
        <v>0</v>
      </c>
      <c r="E49" s="19">
        <f t="shared" si="8"/>
        <v>0</v>
      </c>
      <c r="F49" s="19">
        <f t="shared" si="8"/>
        <v>0</v>
      </c>
      <c r="G49" s="19">
        <f t="shared" si="8"/>
        <v>0</v>
      </c>
      <c r="H49" s="19">
        <f>H48*0.2</f>
        <v>0</v>
      </c>
      <c r="I49" s="19">
        <f t="shared" si="8"/>
        <v>0</v>
      </c>
      <c r="J49" s="19">
        <f t="shared" si="8"/>
        <v>0</v>
      </c>
      <c r="K49" s="19">
        <f t="shared" si="8"/>
        <v>0</v>
      </c>
      <c r="L49" s="19">
        <f t="shared" si="8"/>
        <v>0</v>
      </c>
      <c r="M49" s="19">
        <f t="shared" si="8"/>
        <v>0</v>
      </c>
      <c r="N49" s="19">
        <f t="shared" si="8"/>
        <v>0</v>
      </c>
      <c r="O49" s="5">
        <f>SUM(C49:N49)</f>
        <v>0</v>
      </c>
    </row>
    <row r="50" spans="1:16" s="19" customFormat="1" x14ac:dyDescent="0.3">
      <c r="B50" s="18" t="s">
        <v>7</v>
      </c>
      <c r="C50" s="13">
        <f>C48-C49</f>
        <v>0</v>
      </c>
      <c r="D50" s="13">
        <f t="shared" ref="D50:N50" si="9">D48-D49</f>
        <v>0</v>
      </c>
      <c r="E50" s="13">
        <f t="shared" si="9"/>
        <v>0</v>
      </c>
      <c r="F50" s="13">
        <f t="shared" si="9"/>
        <v>0</v>
      </c>
      <c r="G50" s="13">
        <f t="shared" si="9"/>
        <v>0</v>
      </c>
      <c r="H50" s="13">
        <f t="shared" si="9"/>
        <v>0</v>
      </c>
      <c r="I50" s="13">
        <f t="shared" si="9"/>
        <v>0</v>
      </c>
      <c r="J50" s="13">
        <f t="shared" si="9"/>
        <v>0</v>
      </c>
      <c r="K50" s="13">
        <f t="shared" si="9"/>
        <v>0</v>
      </c>
      <c r="L50" s="13">
        <f t="shared" si="9"/>
        <v>0</v>
      </c>
      <c r="M50" s="13">
        <f t="shared" si="9"/>
        <v>0</v>
      </c>
      <c r="N50" s="13">
        <f t="shared" si="9"/>
        <v>0</v>
      </c>
      <c r="O50" s="13">
        <f>O48-O49</f>
        <v>0</v>
      </c>
    </row>
    <row r="51" spans="1:16" s="11" customForma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P51" s="1"/>
    </row>
    <row r="52" spans="1:16" x14ac:dyDescent="0.3">
      <c r="C52" s="26" t="e">
        <f t="shared" ref="C52:N52" si="10">1-C27/C7</f>
        <v>#DIV/0!</v>
      </c>
      <c r="D52" s="26" t="e">
        <f t="shared" si="10"/>
        <v>#DIV/0!</v>
      </c>
      <c r="E52" s="26" t="e">
        <f t="shared" si="10"/>
        <v>#DIV/0!</v>
      </c>
      <c r="F52" s="26" t="e">
        <f t="shared" si="10"/>
        <v>#DIV/0!</v>
      </c>
      <c r="G52" s="26" t="e">
        <f t="shared" si="10"/>
        <v>#DIV/0!</v>
      </c>
      <c r="H52" s="26" t="e">
        <f t="shared" si="10"/>
        <v>#DIV/0!</v>
      </c>
      <c r="I52" s="26" t="e">
        <f t="shared" si="10"/>
        <v>#DIV/0!</v>
      </c>
      <c r="J52" s="26" t="e">
        <f t="shared" si="10"/>
        <v>#DIV/0!</v>
      </c>
      <c r="K52" s="26" t="e">
        <f t="shared" si="10"/>
        <v>#DIV/0!</v>
      </c>
      <c r="L52" s="26" t="e">
        <f t="shared" si="10"/>
        <v>#DIV/0!</v>
      </c>
      <c r="M52" s="26" t="e">
        <f t="shared" si="10"/>
        <v>#DIV/0!</v>
      </c>
      <c r="N52" s="26" t="e">
        <f t="shared" si="10"/>
        <v>#DIV/0!</v>
      </c>
    </row>
    <row r="54" spans="1:16" x14ac:dyDescent="0.3">
      <c r="N54" s="3" t="s">
        <v>31</v>
      </c>
      <c r="O54" s="27" t="e">
        <f>O48/O7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P&amp;L 2026 all</vt:lpstr>
      <vt:lpstr>P&amp;L 2026 TCO</vt:lpstr>
      <vt:lpstr>P&amp;L KPO</vt:lpstr>
      <vt:lpstr>P&amp;L 2026 concrete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Sulpak123</dc:creator>
  <cp:lastModifiedBy>Aliya Akhatova</cp:lastModifiedBy>
  <dcterms:created xsi:type="dcterms:W3CDTF">2015-02-07T14:56:09Z</dcterms:created>
  <dcterms:modified xsi:type="dcterms:W3CDTF">2026-06-19T10:24:58Z</dcterms:modified>
</cp:coreProperties>
</file>